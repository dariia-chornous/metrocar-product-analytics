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_SQL" sheetId="1" r:id="rId5"/>
    <sheet state="visible" name="Funnel_for_Tableau" sheetId="2" r:id="rId6"/>
    <sheet state="visible" name="Conversion_SQL" sheetId="3" r:id="rId7"/>
    <sheet state="visible" name="Conversion_Check" sheetId="4" r:id="rId8"/>
    <sheet state="visible" name="Drop-off points_SQL" sheetId="5" r:id="rId9"/>
    <sheet state="visible" name="Drop-off points_Check" sheetId="6" r:id="rId10"/>
    <sheet state="visible" name="Drop-off hours_SQL" sheetId="7" r:id="rId11"/>
    <sheet state="visible" name="Drop-off hours_Check" sheetId="8" r:id="rId12"/>
    <sheet state="visible" name="Drop-off days_SQL" sheetId="9" r:id="rId13"/>
    <sheet state="visible" name="Drop-off days_Check" sheetId="10" r:id="rId14"/>
    <sheet state="visible" name="Drop-off hours days_heatmap_SQL" sheetId="11" r:id="rId15"/>
    <sheet state="visible" name="Time to accept_SQL" sheetId="12" r:id="rId16"/>
    <sheet state="visible" name="Time to accept_Check" sheetId="13" r:id="rId17"/>
    <sheet state="visible" name="Platforms effectivness" sheetId="14" r:id="rId18"/>
    <sheet state="visible" name="Platforms effectivness_Check" sheetId="15" r:id="rId19"/>
    <sheet state="visible" name="Active_ride complited_users_SQL" sheetId="16" r:id="rId20"/>
    <sheet state="visible" name="Active_ride completed_users_Che" sheetId="17" r:id="rId21"/>
  </sheets>
  <definedNames/>
  <calcPr/>
</workbook>
</file>

<file path=xl/sharedStrings.xml><?xml version="1.0" encoding="utf-8"?>
<sst xmlns="http://schemas.openxmlformats.org/spreadsheetml/2006/main" count="331" uniqueCount="53">
  <si>
    <t>funnel_step</t>
  </si>
  <si>
    <t>users</t>
  </si>
  <si>
    <t>Download</t>
  </si>
  <si>
    <t>Signup</t>
  </si>
  <si>
    <t>Ride requested</t>
  </si>
  <si>
    <t>Ride accepted</t>
  </si>
  <si>
    <t>Ride completed</t>
  </si>
  <si>
    <t>Payment</t>
  </si>
  <si>
    <t>Review</t>
  </si>
  <si>
    <t>users_previous_step</t>
  </si>
  <si>
    <t>users_lost</t>
  </si>
  <si>
    <t>conversion_rate</t>
  </si>
  <si>
    <t>from_step</t>
  </si>
  <si>
    <t>to_step</t>
  </si>
  <si>
    <t>users_from</t>
  </si>
  <si>
    <t>users_to</t>
  </si>
  <si>
    <t>dropoff_rate</t>
  </si>
  <si>
    <t>hour_of_day</t>
  </si>
  <si>
    <t>accepted_users</t>
  </si>
  <si>
    <t>completed_users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</si>
  <si>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</si>
  <si>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</si>
  <si>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</si>
  <si>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</si>
  <si>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</si>
  <si>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</si>
  <si>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</si>
  <si>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</si>
  <si>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day_order</t>
  </si>
  <si>
    <t>time_to_accept_bucket</t>
  </si>
  <si>
    <t>accepted_rides</t>
  </si>
  <si>
    <t>cancelled_after_accept_rides</t>
  </si>
  <si>
    <t>cancelled_after_accept_rate</t>
  </si>
  <si>
    <t>2–5 min</t>
  </si>
  <si>
    <t>5–10 min</t>
  </si>
  <si>
    <t>10+ min</t>
  </si>
  <si>
    <t>platform</t>
  </si>
  <si>
    <t>downloads</t>
  </si>
  <si>
    <t>paid_users</t>
  </si>
  <si>
    <t>conversion_to_payment</t>
  </si>
  <si>
    <t>total_revenue_usd</t>
  </si>
  <si>
    <t>revenue_per_download_usd</t>
  </si>
  <si>
    <t>ios</t>
  </si>
  <si>
    <t>android</t>
  </si>
  <si>
    <t>web</t>
  </si>
  <si>
    <t>age_group</t>
  </si>
  <si>
    <t>active_users</t>
  </si>
  <si>
    <t>ride_completed_users</t>
  </si>
  <si>
    <t>18-24</t>
  </si>
  <si>
    <t>25-34</t>
  </si>
  <si>
    <t>35-44</t>
  </si>
  <si>
    <t>45-54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</si>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</sst>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2" xfId="0" applyBorder="1" applyFont="1" applyNumberFormat="1"/>
    <xf borderId="1" fillId="0" fontId="1" numFmtId="1" xfId="0" applyBorder="1" applyFont="1" applyNumberFormat="1"/>
    <xf borderId="1" fillId="0" fontId="2" numFmtId="2" xfId="0" applyAlignment="1" applyBorder="1" applyFont="1" applyNumberFormat="1">
      <alignment readingOrder="0"/>
    </xf>
    <xf borderId="0" fillId="0" fontId="1" numFmtId="2" xfId="0" applyFont="1" applyNumberFormat="1"/>
    <xf borderId="1" fillId="0" fontId="1" numFmtId="2" xfId="0" applyAlignment="1" applyBorder="1" applyFont="1" applyNumberFormat="1">
      <alignment readingOrder="0"/>
    </xf>
    <xf borderId="1" fillId="0" fontId="1" numFmtId="164" xfId="0" applyBorder="1" applyFont="1" applyNumberFormat="1"/>
    <xf borderId="1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User Funnel Conversion by Step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Conversion_Check!$E$1</c:f>
            </c:strRef>
          </c:tx>
          <c:spPr>
            <a:solidFill>
              <a:srgbClr val="B6D7A8"/>
            </a:solidFill>
            <a:ln cmpd="sng">
              <a:solidFill>
                <a:srgbClr val="38761D">
                  <a:alpha val="100000"/>
                </a:srgbClr>
              </a:solidFill>
            </a:ln>
          </c:spPr>
          <c:cat>
            <c:strRef>
              <c:f>Conversion_Check!$A$2:$A$8</c:f>
            </c:strRef>
          </c:cat>
          <c:val>
            <c:numRef>
              <c:f>Conversion_Check!$E$2:$E$8</c:f>
              <c:numCache/>
            </c:numRef>
          </c:val>
        </c:ser>
        <c:axId val="227504382"/>
        <c:axId val="104021222"/>
      </c:barChart>
      <c:catAx>
        <c:axId val="227504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Funnel Step</a:t>
                </a:r>
              </a:p>
            </c:rich>
          </c:tx>
          <c:layout>
            <c:manualLayout>
              <c:xMode val="edge"/>
              <c:yMode val="edge"/>
              <c:x val="0.14206901041666667"/>
              <c:y val="0.9149595687331536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21222"/>
      </c:catAx>
      <c:valAx>
        <c:axId val="104021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Conversion Rate from Previous Step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504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User Funnel Drop-off by Step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'Drop-off points_Check'!$G$1</c:f>
            </c:strRef>
          </c:tx>
          <c:spPr>
            <a:solidFill>
              <a:srgbClr val="B6D7A8"/>
            </a:solidFill>
            <a:ln cmpd="sng">
              <a:solidFill>
                <a:srgbClr val="38761D">
                  <a:alpha val="100000"/>
                </a:srgbClr>
              </a:solidFill>
            </a:ln>
          </c:spPr>
          <c:dPt>
            <c:idx val="3"/>
          </c:dPt>
          <c:cat>
            <c:strRef>
              <c:f>'Drop-off points_Check'!$C$2:$C$7</c:f>
            </c:strRef>
          </c:cat>
          <c:val>
            <c:numRef>
              <c:f>'Drop-off points_Check'!$G$2:$G$7</c:f>
              <c:numCache/>
            </c:numRef>
          </c:val>
        </c:ser>
        <c:axId val="107780262"/>
        <c:axId val="2031195151"/>
      </c:barChart>
      <c:catAx>
        <c:axId val="107780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Funnel Step Transition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195151"/>
      </c:catAx>
      <c:valAx>
        <c:axId val="2031195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Drop-off Rate from Previous Step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80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Drop-off Rate by Day of Week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'Drop-off days_Check'!$D$1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'Drop-off days_Check'!$A$2:$A$8</c:f>
            </c:strRef>
          </c:cat>
          <c:val>
            <c:numRef>
              <c:f>'Drop-off days_Check'!$D$2:$D$8</c:f>
              <c:numCache/>
            </c:numRef>
          </c:val>
          <c:smooth val="0"/>
        </c:ser>
        <c:axId val="1919794659"/>
        <c:axId val="273511786"/>
      </c:lineChart>
      <c:catAx>
        <c:axId val="1919794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Day of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511786"/>
      </c:catAx>
      <c:valAx>
        <c:axId val="273511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Drop-off  Rate (Accepted → Complited)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794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Time to Acceptance vs Cancellation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'Time to accept_Check'!$D$1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B6D7A8"/>
              </a:solidFill>
              <a:ln cmpd="sng">
                <a:solidFill>
                  <a:srgbClr val="38761D">
                    <a:alpha val="100000"/>
                  </a:srgbClr>
                </a:solidFill>
                <a:prstDash val="solid"/>
              </a:ln>
            </c:spPr>
          </c:dPt>
          <c:cat>
            <c:strRef>
              <c:f>'Time to accept_Check'!$A$2:$A$4</c:f>
            </c:strRef>
          </c:cat>
          <c:val>
            <c:numRef>
              <c:f>'Time to accept_Check'!$D$2:$D$4</c:f>
              <c:numCache/>
            </c:numRef>
          </c:val>
        </c:ser>
        <c:axId val="1335816663"/>
        <c:axId val="1910896556"/>
      </c:barChart>
      <c:catAx>
        <c:axId val="1335816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to Acceptance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896556"/>
      </c:catAx>
      <c:valAx>
        <c:axId val="1910896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Cancelled After Accept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816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Platform Efficiency: Conversion vs Revenue per Download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'Platforms effectivness_Check'!$D$2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'Platforms effectivness_Check'!$F$2</c:f>
            </c:strRef>
          </c:xVal>
          <c:yVal>
            <c:numRef>
              <c:f>'Platforms effectivness_Check'!$A$2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'Platforms effectivness_Check'!$D$3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'Platforms effectivness_Check'!$F$3</c:f>
            </c:strRef>
          </c:xVal>
          <c:yVal>
            <c:numRef>
              <c:f>'Platforms effectivness_Check'!$A$3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'Platforms effectivness_Check'!$D$4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'Platforms effectivness_Check'!$F$4</c:f>
            </c:strRef>
          </c:xVal>
          <c:yVal>
            <c:numRef>
              <c:f>'Platforms effectivness_Check'!$A$4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399351553"/>
        <c:axId val="711348761"/>
      </c:bubbleChart>
      <c:valAx>
        <c:axId val="13993515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Conversion to Payment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348761"/>
      </c:valAx>
      <c:valAx>
        <c:axId val="711348761"/>
        <c:scaling>
          <c:orientation val="minMax"/>
          <c:max val="2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Revenue per Download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351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User Activity and Completed Rides by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'Active_ride completed_users_Che'!$B$1</c:f>
            </c:strRef>
          </c:tx>
          <c:spPr>
            <a:solidFill>
              <a:srgbClr val="B6D7A8"/>
            </a:solidFill>
            <a:ln cmpd="sng">
              <a:solidFill>
                <a:srgbClr val="38761D">
                  <a:alpha val="100000"/>
                </a:srgbClr>
              </a:solidFill>
            </a:ln>
          </c:spPr>
          <c:cat>
            <c:strRef>
              <c:f>'Active_ride completed_users_Che'!$A$2:$A$6</c:f>
            </c:strRef>
          </c:cat>
          <c:val>
            <c:numRef>
              <c:f>'Active_ride completed_users_Che'!$B$2:$B$6</c:f>
              <c:numCache/>
            </c:numRef>
          </c:val>
        </c:ser>
        <c:ser>
          <c:idx val="1"/>
          <c:order val="1"/>
          <c:tx>
            <c:strRef>
              <c:f>'Active_ride completed_users_Che'!$C$1</c:f>
            </c:strRef>
          </c:tx>
          <c:spPr>
            <a:solidFill>
              <a:srgbClr val="D5A6BD"/>
            </a:solidFill>
            <a:ln cmpd="sng">
              <a:solidFill>
                <a:srgbClr val="741B47">
                  <a:alpha val="100000"/>
                </a:srgbClr>
              </a:solidFill>
            </a:ln>
          </c:spPr>
          <c:dPt>
            <c:idx val="2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'Active_ride completed_users_Che'!$A$2:$A$6</c:f>
            </c:strRef>
          </c:cat>
          <c:val>
            <c:numRef>
              <c:f>'Active_ride completed_users_Che'!$C$2:$C$6</c:f>
              <c:numCache/>
            </c:numRef>
          </c:val>
        </c:ser>
        <c:axId val="1028304963"/>
        <c:axId val="509572757"/>
      </c:barChart>
      <c:catAx>
        <c:axId val="1028304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layout>
            <c:manualLayout>
              <c:xMode val="edge"/>
              <c:yMode val="edge"/>
              <c:x val="0.08540885416666666"/>
              <c:y val="0.914959568733153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572757"/>
      </c:catAx>
      <c:valAx>
        <c:axId val="509572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Number of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304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</xdr:row>
      <xdr:rowOff>190500</xdr:rowOff>
    </xdr:from>
    <xdr:ext cx="5715000" cy="3533775"/>
    <xdr:pic>
      <xdr:nvPicPr>
        <xdr:cNvPr id="179468957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23608.0</v>
      </c>
    </row>
    <row r="3">
      <c r="A3" s="1" t="s">
        <v>3</v>
      </c>
      <c r="B3" s="1">
        <v>17623.0</v>
      </c>
    </row>
    <row r="4">
      <c r="A4" s="1" t="s">
        <v>4</v>
      </c>
      <c r="B4" s="1">
        <v>12406.0</v>
      </c>
    </row>
    <row r="5">
      <c r="A5" s="1" t="s">
        <v>5</v>
      </c>
      <c r="B5" s="1">
        <v>12278.0</v>
      </c>
    </row>
    <row r="6">
      <c r="A6" s="1" t="s">
        <v>6</v>
      </c>
      <c r="B6" s="1">
        <v>6233.0</v>
      </c>
    </row>
    <row r="7">
      <c r="A7" s="1" t="s">
        <v>7</v>
      </c>
      <c r="B7" s="1">
        <v>6233.0</v>
      </c>
    </row>
    <row r="8">
      <c r="A8" s="1" t="s">
        <v>8</v>
      </c>
      <c r="B8" s="1">
        <v>4348.0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</cols>
  <sheetData>
    <row r="1">
      <c r="A1" s="2" t="s">
        <v>0</v>
      </c>
      <c r="B1" s="2" t="s">
        <v>1</v>
      </c>
      <c r="C1" s="2" t="s">
        <v>9</v>
      </c>
    </row>
    <row r="2">
      <c r="A2" s="3" t="s">
        <v>2</v>
      </c>
      <c r="B2" s="3">
        <v>23608.0</v>
      </c>
      <c r="C2" s="4" t="str">
        <f t="shared" ref="C2:C8" si="1">IF(ROW()=2, , B1)</f>
        <v/>
      </c>
    </row>
    <row r="3">
      <c r="A3" s="3" t="s">
        <v>3</v>
      </c>
      <c r="B3" s="3">
        <v>17623.0</v>
      </c>
      <c r="C3" s="4">
        <f t="shared" si="1"/>
        <v>23608</v>
      </c>
    </row>
    <row r="4">
      <c r="A4" s="3" t="s">
        <v>4</v>
      </c>
      <c r="B4" s="3">
        <v>12406.0</v>
      </c>
      <c r="C4" s="4">
        <f t="shared" si="1"/>
        <v>17623</v>
      </c>
    </row>
    <row r="5">
      <c r="A5" s="3" t="s">
        <v>5</v>
      </c>
      <c r="B5" s="3">
        <v>12278.0</v>
      </c>
      <c r="C5" s="4">
        <f t="shared" si="1"/>
        <v>12406</v>
      </c>
    </row>
    <row r="6">
      <c r="A6" s="3" t="s">
        <v>6</v>
      </c>
      <c r="B6" s="3">
        <v>6233.0</v>
      </c>
      <c r="C6" s="4">
        <f t="shared" si="1"/>
        <v>12278</v>
      </c>
    </row>
    <row r="7">
      <c r="A7" s="3" t="s">
        <v>7</v>
      </c>
      <c r="B7" s="3">
        <v>6233.0</v>
      </c>
      <c r="C7" s="4">
        <f t="shared" si="1"/>
        <v>6233</v>
      </c>
    </row>
    <row r="8">
      <c r="A8" s="3" t="s">
        <v>8</v>
      </c>
      <c r="B8" s="3">
        <v>4348.0</v>
      </c>
      <c r="C8" s="4">
        <f t="shared" si="1"/>
        <v>6233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</cols>
  <sheetData>
    <row r="1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</row>
    <row r="2">
      <c r="A2" s="1" t="s">
        <v>2</v>
      </c>
      <c r="B2" s="1">
        <v>23608.0</v>
      </c>
    </row>
    <row r="3">
      <c r="A3" s="1" t="s">
        <v>3</v>
      </c>
      <c r="B3" s="1">
        <v>17623.0</v>
      </c>
      <c r="C3" s="1">
        <v>23608.0</v>
      </c>
      <c r="D3" s="1">
        <v>5985.0</v>
      </c>
      <c r="E3" s="1">
        <v>0.746</v>
      </c>
    </row>
    <row r="4">
      <c r="A4" s="1" t="s">
        <v>4</v>
      </c>
      <c r="B4" s="1">
        <v>12406.0</v>
      </c>
      <c r="C4" s="1">
        <v>17623.0</v>
      </c>
      <c r="D4" s="1">
        <v>5217.0</v>
      </c>
      <c r="E4" s="1">
        <v>0.704</v>
      </c>
    </row>
    <row r="5">
      <c r="A5" s="1" t="s">
        <v>5</v>
      </c>
      <c r="B5" s="1">
        <v>12278.0</v>
      </c>
      <c r="C5" s="1">
        <v>12406.0</v>
      </c>
      <c r="D5" s="1">
        <v>128.0</v>
      </c>
      <c r="E5" s="1">
        <v>0.99</v>
      </c>
    </row>
    <row r="6">
      <c r="A6" s="1" t="s">
        <v>6</v>
      </c>
      <c r="B6" s="1">
        <v>6233.0</v>
      </c>
      <c r="C6" s="1">
        <v>12278.0</v>
      </c>
      <c r="D6" s="1">
        <v>6045.0</v>
      </c>
      <c r="E6" s="1">
        <v>0.508</v>
      </c>
    </row>
    <row r="7">
      <c r="A7" s="1" t="s">
        <v>7</v>
      </c>
      <c r="B7" s="1">
        <v>6233.0</v>
      </c>
      <c r="C7" s="1">
        <v>6233.0</v>
      </c>
      <c r="D7" s="1">
        <v>0.0</v>
      </c>
      <c r="E7" s="1">
        <v>1.0</v>
      </c>
    </row>
    <row r="8">
      <c r="A8" s="1" t="s">
        <v>8</v>
      </c>
      <c r="B8" s="1">
        <v>4348.0</v>
      </c>
      <c r="C8" s="1">
        <v>6233.0</v>
      </c>
      <c r="D8" s="1">
        <v>1885.0</v>
      </c>
      <c r="E8" s="1">
        <v>0.698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0"/>
    <col customWidth="1" min="5" max="5" width="15.25"/>
  </cols>
  <sheetData>
    <row r="1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</row>
    <row r="2">
      <c r="A2" s="3" t="s">
        <v>2</v>
      </c>
      <c r="B2" s="3">
        <v>23608.0</v>
      </c>
      <c r="C2" s="4" t="str">
        <f t="shared" ref="C2:C8" si="1">IF(ROW()=2, , B1)</f>
        <v/>
      </c>
      <c r="D2" s="4" t="str">
        <f>IF(C2="", , C2 - B2)</f>
        <v/>
      </c>
      <c r="E2" s="4"/>
    </row>
    <row r="3">
      <c r="A3" s="3" t="s">
        <v>3</v>
      </c>
      <c r="B3" s="3">
        <v>17623.0</v>
      </c>
      <c r="C3" s="4">
        <f t="shared" si="1"/>
        <v>23608</v>
      </c>
      <c r="D3" s="4">
        <f t="shared" ref="D3:D8" si="2">IF(C3="", , C3-B3)</f>
        <v>5985</v>
      </c>
      <c r="E3" s="5">
        <f t="shared" ref="E3:E8" si="3">IFERROR(B3/C3, "")</f>
        <v>0.7464842426</v>
      </c>
    </row>
    <row r="4">
      <c r="A4" s="3" t="s">
        <v>4</v>
      </c>
      <c r="B4" s="3">
        <v>12406.0</v>
      </c>
      <c r="C4" s="4">
        <f t="shared" si="1"/>
        <v>17623</v>
      </c>
      <c r="D4" s="4">
        <f t="shared" si="2"/>
        <v>5217</v>
      </c>
      <c r="E4" s="5">
        <f t="shared" si="3"/>
        <v>0.7039664075</v>
      </c>
    </row>
    <row r="5">
      <c r="A5" s="3" t="s">
        <v>5</v>
      </c>
      <c r="B5" s="3">
        <v>12278.0</v>
      </c>
      <c r="C5" s="4">
        <f t="shared" si="1"/>
        <v>12406</v>
      </c>
      <c r="D5" s="4">
        <f t="shared" si="2"/>
        <v>128</v>
      </c>
      <c r="E5" s="5">
        <f t="shared" si="3"/>
        <v>0.9896824117</v>
      </c>
    </row>
    <row r="6">
      <c r="A6" s="3" t="s">
        <v>6</v>
      </c>
      <c r="B6" s="3">
        <v>6233.0</v>
      </c>
      <c r="C6" s="4">
        <f t="shared" si="1"/>
        <v>12278</v>
      </c>
      <c r="D6" s="4">
        <f t="shared" si="2"/>
        <v>6045</v>
      </c>
      <c r="E6" s="5">
        <f t="shared" si="3"/>
        <v>0.50765597</v>
      </c>
    </row>
    <row r="7">
      <c r="A7" s="3" t="s">
        <v>7</v>
      </c>
      <c r="B7" s="3">
        <v>6233.0</v>
      </c>
      <c r="C7" s="4">
        <f t="shared" si="1"/>
        <v>6233</v>
      </c>
      <c r="D7" s="4">
        <f t="shared" si="2"/>
        <v>0</v>
      </c>
      <c r="E7" s="6">
        <f t="shared" si="3"/>
        <v>1</v>
      </c>
    </row>
    <row r="8">
      <c r="A8" s="3" t="s">
        <v>8</v>
      </c>
      <c r="B8" s="3">
        <v>4348.0</v>
      </c>
      <c r="C8" s="4">
        <f t="shared" si="1"/>
        <v>6233</v>
      </c>
      <c r="D8" s="4">
        <f t="shared" si="2"/>
        <v>1885</v>
      </c>
      <c r="E8" s="5">
        <f t="shared" si="3"/>
        <v>0.6975774106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10</v>
      </c>
      <c r="F1" s="1" t="s">
        <v>16</v>
      </c>
    </row>
    <row r="2">
      <c r="A2" s="1" t="s">
        <v>2</v>
      </c>
      <c r="B2" s="1" t="s">
        <v>3</v>
      </c>
      <c r="C2" s="1">
        <v>23608.0</v>
      </c>
      <c r="D2" s="1">
        <v>17623.0</v>
      </c>
      <c r="E2" s="1">
        <v>5985.0</v>
      </c>
      <c r="F2" s="1">
        <v>0.254</v>
      </c>
    </row>
    <row r="3">
      <c r="A3" s="1" t="s">
        <v>3</v>
      </c>
      <c r="B3" s="1" t="s">
        <v>4</v>
      </c>
      <c r="C3" s="1">
        <v>17623.0</v>
      </c>
      <c r="D3" s="1">
        <v>12406.0</v>
      </c>
      <c r="E3" s="1">
        <v>5217.0</v>
      </c>
      <c r="F3" s="1">
        <v>0.296</v>
      </c>
    </row>
    <row r="4">
      <c r="A4" s="1" t="s">
        <v>4</v>
      </c>
      <c r="B4" s="1" t="s">
        <v>5</v>
      </c>
      <c r="C4" s="1">
        <v>12406.0</v>
      </c>
      <c r="D4" s="1">
        <v>12278.0</v>
      </c>
      <c r="E4" s="1">
        <v>128.0</v>
      </c>
      <c r="F4" s="1">
        <v>0.01</v>
      </c>
    </row>
    <row r="5">
      <c r="A5" s="1" t="s">
        <v>5</v>
      </c>
      <c r="B5" s="1" t="s">
        <v>6</v>
      </c>
      <c r="C5" s="1">
        <v>12278.0</v>
      </c>
      <c r="D5" s="1">
        <v>6233.0</v>
      </c>
      <c r="E5" s="1">
        <v>6045.0</v>
      </c>
      <c r="F5" s="1">
        <v>0.492</v>
      </c>
    </row>
    <row r="6">
      <c r="A6" s="1" t="s">
        <v>6</v>
      </c>
      <c r="B6" s="1" t="s">
        <v>7</v>
      </c>
      <c r="C6" s="1">
        <v>6233.0</v>
      </c>
      <c r="D6" s="1">
        <v>6233.0</v>
      </c>
      <c r="E6" s="1">
        <v>0.0</v>
      </c>
      <c r="F6" s="1">
        <v>0.0</v>
      </c>
    </row>
    <row r="7">
      <c r="A7" s="1" t="s">
        <v>7</v>
      </c>
      <c r="B7" s="1" t="s">
        <v>8</v>
      </c>
      <c r="C7" s="1">
        <v>6233.0</v>
      </c>
      <c r="D7" s="1">
        <v>4348.0</v>
      </c>
      <c r="E7" s="1">
        <v>1885.0</v>
      </c>
      <c r="F7" s="1">
        <v>0.302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6.13"/>
  </cols>
  <sheetData>
    <row r="1">
      <c r="A1" s="2" t="s">
        <v>12</v>
      </c>
      <c r="B1" s="2" t="s">
        <v>13</v>
      </c>
      <c r="C1" s="2" t="str">
        <f t="shared" ref="C1:C7" si="1"> A1 &amp; " → " &amp; B1</f>
        <v>from_step → to_step</v>
      </c>
      <c r="D1" s="2" t="s">
        <v>14</v>
      </c>
      <c r="E1" s="2" t="s">
        <v>15</v>
      </c>
      <c r="F1" s="2" t="s">
        <v>10</v>
      </c>
      <c r="G1" s="2" t="s">
        <v>16</v>
      </c>
    </row>
    <row r="2">
      <c r="A2" s="3" t="s">
        <v>2</v>
      </c>
      <c r="B2" s="3" t="s">
        <v>3</v>
      </c>
      <c r="C2" s="3" t="str">
        <f t="shared" si="1"/>
        <v>Download → Signup</v>
      </c>
      <c r="D2" s="3">
        <v>23608.0</v>
      </c>
      <c r="E2" s="3">
        <v>17623.0</v>
      </c>
      <c r="F2" s="4">
        <f t="shared" ref="F2:F7" si="2">D2-E2</f>
        <v>5985</v>
      </c>
      <c r="G2" s="5">
        <f t="shared" ref="G2:G7" si="3">IFERROR(F2/D2,"")</f>
        <v>0.2535157574</v>
      </c>
    </row>
    <row r="3">
      <c r="A3" s="3" t="s">
        <v>3</v>
      </c>
      <c r="B3" s="3" t="s">
        <v>4</v>
      </c>
      <c r="C3" s="3" t="str">
        <f t="shared" si="1"/>
        <v>Signup → Ride requested</v>
      </c>
      <c r="D3" s="4">
        <f t="shared" ref="D3:D7" si="4">E2</f>
        <v>17623</v>
      </c>
      <c r="E3" s="3">
        <v>12406.0</v>
      </c>
      <c r="F3" s="4">
        <f t="shared" si="2"/>
        <v>5217</v>
      </c>
      <c r="G3" s="5">
        <f t="shared" si="3"/>
        <v>0.2960335925</v>
      </c>
    </row>
    <row r="4">
      <c r="A4" s="3" t="s">
        <v>4</v>
      </c>
      <c r="B4" s="3" t="s">
        <v>5</v>
      </c>
      <c r="C4" s="3" t="str">
        <f t="shared" si="1"/>
        <v>Ride requested → Ride accepted</v>
      </c>
      <c r="D4" s="4">
        <f t="shared" si="4"/>
        <v>12406</v>
      </c>
      <c r="E4" s="3">
        <v>12278.0</v>
      </c>
      <c r="F4" s="4">
        <f t="shared" si="2"/>
        <v>128</v>
      </c>
      <c r="G4" s="5">
        <f t="shared" si="3"/>
        <v>0.01031758826</v>
      </c>
    </row>
    <row r="5">
      <c r="A5" s="3" t="s">
        <v>5</v>
      </c>
      <c r="B5" s="3" t="s">
        <v>6</v>
      </c>
      <c r="C5" s="3" t="str">
        <f t="shared" si="1"/>
        <v>Ride accepted → Ride completed</v>
      </c>
      <c r="D5" s="4">
        <f t="shared" si="4"/>
        <v>12278</v>
      </c>
      <c r="E5" s="3">
        <v>6233.0</v>
      </c>
      <c r="F5" s="4">
        <f t="shared" si="2"/>
        <v>6045</v>
      </c>
      <c r="G5" s="5">
        <f t="shared" si="3"/>
        <v>0.49234403</v>
      </c>
    </row>
    <row r="6">
      <c r="A6" s="3" t="s">
        <v>6</v>
      </c>
      <c r="B6" s="3" t="s">
        <v>7</v>
      </c>
      <c r="C6" s="3" t="str">
        <f t="shared" si="1"/>
        <v>Ride completed → Payment</v>
      </c>
      <c r="D6" s="4">
        <f t="shared" si="4"/>
        <v>6233</v>
      </c>
      <c r="E6" s="3">
        <v>6233.0</v>
      </c>
      <c r="F6" s="4">
        <f t="shared" si="2"/>
        <v>0</v>
      </c>
      <c r="G6" s="6">
        <f t="shared" si="3"/>
        <v>0</v>
      </c>
    </row>
    <row r="7">
      <c r="A7" s="3" t="s">
        <v>7</v>
      </c>
      <c r="B7" s="3" t="s">
        <v>8</v>
      </c>
      <c r="C7" s="3" t="str">
        <f t="shared" si="1"/>
        <v>Payment → Review</v>
      </c>
      <c r="D7" s="4">
        <f t="shared" si="4"/>
        <v>6233</v>
      </c>
      <c r="E7" s="3">
        <v>4348.0</v>
      </c>
      <c r="F7" s="4">
        <f t="shared" si="2"/>
        <v>1885</v>
      </c>
      <c r="G7" s="5">
        <f t="shared" si="3"/>
        <v>0.3024225894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</cols>
  <sheetData>
    <row r="1">
      <c r="A1" s="1" t="s">
        <v>17</v>
      </c>
      <c r="B1" s="1" t="s">
        <v>18</v>
      </c>
      <c r="C1" s="1" t="s">
        <v>19</v>
      </c>
      <c r="D1" s="1" t="s">
        <v>16</v>
      </c>
    </row>
    <row r="2">
      <c r="A2" s="1">
        <v>0.0</v>
      </c>
      <c r="B2" s="1">
        <v>939.0</v>
      </c>
      <c r="C2" s="1">
        <v>839.0</v>
      </c>
      <c r="D2" s="1">
        <v>0.106</v>
      </c>
    </row>
    <row r="3">
      <c r="A3" s="1">
        <v>1.0</v>
      </c>
      <c r="B3" s="1">
        <v>979.0</v>
      </c>
      <c r="C3" s="1">
        <v>876.0</v>
      </c>
      <c r="D3" s="1">
        <v>0.105</v>
      </c>
    </row>
    <row r="4">
      <c r="A4" s="1">
        <v>2.0</v>
      </c>
      <c r="B4" s="1">
        <v>981.0</v>
      </c>
      <c r="C4" s="1">
        <v>867.0</v>
      </c>
      <c r="D4" s="1">
        <v>0.116</v>
      </c>
    </row>
    <row r="5">
      <c r="A5" s="1">
        <v>3.0</v>
      </c>
      <c r="B5" s="1">
        <v>935.0</v>
      </c>
      <c r="C5" s="1">
        <v>827.0</v>
      </c>
      <c r="D5" s="1">
        <v>0.116</v>
      </c>
    </row>
    <row r="6">
      <c r="A6" s="1">
        <v>4.0</v>
      </c>
      <c r="B6" s="1">
        <v>954.0</v>
      </c>
      <c r="C6" s="1">
        <v>855.0</v>
      </c>
      <c r="D6" s="1">
        <v>0.104</v>
      </c>
    </row>
    <row r="7">
      <c r="A7" s="1">
        <v>5.0</v>
      </c>
      <c r="B7" s="1">
        <v>999.0</v>
      </c>
      <c r="C7" s="1">
        <v>899.0</v>
      </c>
      <c r="D7" s="1">
        <v>0.1</v>
      </c>
    </row>
    <row r="8">
      <c r="A8" s="1">
        <v>6.0</v>
      </c>
      <c r="B8" s="1">
        <v>931.0</v>
      </c>
      <c r="C8" s="1">
        <v>824.0</v>
      </c>
      <c r="D8" s="1">
        <v>0.115</v>
      </c>
    </row>
    <row r="9">
      <c r="A9" s="1">
        <v>7.0</v>
      </c>
      <c r="B9" s="1">
        <v>991.0</v>
      </c>
      <c r="C9" s="1">
        <v>878.0</v>
      </c>
      <c r="D9" s="1">
        <v>0.114</v>
      </c>
    </row>
    <row r="10">
      <c r="A10" s="1">
        <v>8.0</v>
      </c>
      <c r="B10" s="1">
        <v>9053.0</v>
      </c>
      <c r="C10" s="1">
        <v>6216.0</v>
      </c>
      <c r="D10" s="1">
        <v>0.313</v>
      </c>
    </row>
    <row r="11">
      <c r="A11" s="1">
        <v>9.0</v>
      </c>
      <c r="B11" s="1">
        <v>9077.0</v>
      </c>
      <c r="C11" s="1">
        <v>6210.0</v>
      </c>
      <c r="D11" s="1">
        <v>0.316</v>
      </c>
    </row>
    <row r="12">
      <c r="A12" s="1">
        <v>10.0</v>
      </c>
      <c r="B12" s="1">
        <v>4045.0</v>
      </c>
      <c r="C12" s="1">
        <v>3506.0</v>
      </c>
      <c r="D12" s="1">
        <v>0.133</v>
      </c>
    </row>
    <row r="13">
      <c r="A13" s="1">
        <v>11.0</v>
      </c>
      <c r="B13" s="1">
        <v>3750.0</v>
      </c>
      <c r="C13" s="1">
        <v>3264.0</v>
      </c>
      <c r="D13" s="1">
        <v>0.13</v>
      </c>
    </row>
    <row r="14">
      <c r="A14" s="1">
        <v>12.0</v>
      </c>
      <c r="B14" s="1">
        <v>3723.0</v>
      </c>
      <c r="C14" s="1">
        <v>3211.0</v>
      </c>
      <c r="D14" s="1">
        <v>0.138</v>
      </c>
    </row>
    <row r="15">
      <c r="A15" s="1">
        <v>13.0</v>
      </c>
      <c r="B15" s="1">
        <v>3782.0</v>
      </c>
      <c r="C15" s="1">
        <v>3280.0</v>
      </c>
      <c r="D15" s="1">
        <v>0.133</v>
      </c>
    </row>
    <row r="16">
      <c r="A16" s="1">
        <v>14.0</v>
      </c>
      <c r="B16" s="1">
        <v>3723.0</v>
      </c>
      <c r="C16" s="1">
        <v>3240.0</v>
      </c>
      <c r="D16" s="1">
        <v>0.13</v>
      </c>
    </row>
    <row r="17">
      <c r="A17" s="1">
        <v>15.0</v>
      </c>
      <c r="B17" s="1">
        <v>3761.0</v>
      </c>
      <c r="C17" s="1">
        <v>3290.0</v>
      </c>
      <c r="D17" s="1">
        <v>0.125</v>
      </c>
    </row>
    <row r="18">
      <c r="A18" s="1">
        <v>16.0</v>
      </c>
      <c r="B18" s="1">
        <v>8972.0</v>
      </c>
      <c r="C18" s="1">
        <v>6202.0</v>
      </c>
      <c r="D18" s="1">
        <v>0.309</v>
      </c>
    </row>
    <row r="19">
      <c r="A19" s="1">
        <v>17.0</v>
      </c>
      <c r="B19" s="1">
        <v>9059.0</v>
      </c>
      <c r="C19" s="1">
        <v>6211.0</v>
      </c>
      <c r="D19" s="1">
        <v>0.314</v>
      </c>
    </row>
    <row r="20">
      <c r="A20" s="1">
        <v>18.0</v>
      </c>
      <c r="B20" s="1">
        <v>8205.0</v>
      </c>
      <c r="C20" s="1">
        <v>6083.0</v>
      </c>
      <c r="D20" s="1">
        <v>0.259</v>
      </c>
    </row>
    <row r="21">
      <c r="A21" s="1">
        <v>19.0</v>
      </c>
      <c r="B21" s="1">
        <v>8146.0</v>
      </c>
      <c r="C21" s="1">
        <v>6072.0</v>
      </c>
      <c r="D21" s="1">
        <v>0.255</v>
      </c>
    </row>
    <row r="22">
      <c r="A22" s="1">
        <v>20.0</v>
      </c>
      <c r="B22" s="1">
        <v>1313.0</v>
      </c>
      <c r="C22" s="1">
        <v>1167.0</v>
      </c>
      <c r="D22" s="1">
        <v>0.111</v>
      </c>
    </row>
    <row r="23">
      <c r="A23" s="1">
        <v>21.0</v>
      </c>
      <c r="B23" s="1">
        <v>1004.0</v>
      </c>
      <c r="C23" s="1">
        <v>884.0</v>
      </c>
      <c r="D23" s="1">
        <v>0.12</v>
      </c>
    </row>
    <row r="24">
      <c r="A24" s="1">
        <v>22.0</v>
      </c>
      <c r="B24" s="1">
        <v>967.0</v>
      </c>
      <c r="C24" s="1">
        <v>871.0</v>
      </c>
      <c r="D24" s="1">
        <v>0.099</v>
      </c>
    </row>
    <row r="25">
      <c r="A25" s="1">
        <v>23.0</v>
      </c>
      <c r="B25" s="1">
        <v>944.0</v>
      </c>
      <c r="C25" s="1">
        <v>848.0</v>
      </c>
      <c r="D25" s="1">
        <v>0.102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63"/>
    <col customWidth="1" min="3" max="3" width="14.63"/>
  </cols>
  <sheetData>
    <row r="1">
      <c r="A1" s="2" t="s">
        <v>17</v>
      </c>
      <c r="B1" s="2" t="s">
        <v>18</v>
      </c>
      <c r="C1" s="2" t="s">
        <v>19</v>
      </c>
      <c r="D1" s="7" t="s">
        <v>16</v>
      </c>
    </row>
    <row r="2">
      <c r="A2" s="3">
        <v>0.0</v>
      </c>
      <c r="B2" s="3">
        <v>939.0</v>
      </c>
      <c r="C2" s="3">
        <v>839.0</v>
      </c>
      <c r="D2" s="5">
        <f t="shared" ref="D2:D25" si="1">IFERROR((B2-C2) / B2, "")</f>
        <v>0.1064962726</v>
      </c>
    </row>
    <row r="3">
      <c r="A3" s="3">
        <v>1.0</v>
      </c>
      <c r="B3" s="3">
        <v>979.0</v>
      </c>
      <c r="C3" s="3">
        <v>876.0</v>
      </c>
      <c r="D3" s="5">
        <f t="shared" si="1"/>
        <v>0.1052093973</v>
      </c>
    </row>
    <row r="4">
      <c r="A4" s="3">
        <v>2.0</v>
      </c>
      <c r="B4" s="3">
        <v>981.0</v>
      </c>
      <c r="C4" s="3">
        <v>867.0</v>
      </c>
      <c r="D4" s="5">
        <f t="shared" si="1"/>
        <v>0.1162079511</v>
      </c>
    </row>
    <row r="5">
      <c r="A5" s="3">
        <v>3.0</v>
      </c>
      <c r="B5" s="3">
        <v>935.0</v>
      </c>
      <c r="C5" s="3">
        <v>827.0</v>
      </c>
      <c r="D5" s="5">
        <f t="shared" si="1"/>
        <v>0.1155080214</v>
      </c>
    </row>
    <row r="6">
      <c r="A6" s="3">
        <v>4.0</v>
      </c>
      <c r="B6" s="3">
        <v>954.0</v>
      </c>
      <c r="C6" s="3">
        <v>855.0</v>
      </c>
      <c r="D6" s="5">
        <f t="shared" si="1"/>
        <v>0.1037735849</v>
      </c>
    </row>
    <row r="7">
      <c r="A7" s="3">
        <v>5.0</v>
      </c>
      <c r="B7" s="3">
        <v>999.0</v>
      </c>
      <c r="C7" s="3">
        <v>899.0</v>
      </c>
      <c r="D7" s="5">
        <f t="shared" si="1"/>
        <v>0.1001001001</v>
      </c>
    </row>
    <row r="8">
      <c r="A8" s="3">
        <v>6.0</v>
      </c>
      <c r="B8" s="3">
        <v>931.0</v>
      </c>
      <c r="C8" s="3">
        <v>824.0</v>
      </c>
      <c r="D8" s="5">
        <f t="shared" si="1"/>
        <v>0.1149301826</v>
      </c>
    </row>
    <row r="9">
      <c r="A9" s="3">
        <v>7.0</v>
      </c>
      <c r="B9" s="3">
        <v>991.0</v>
      </c>
      <c r="C9" s="3">
        <v>878.0</v>
      </c>
      <c r="D9" s="5">
        <f t="shared" si="1"/>
        <v>0.1140262361</v>
      </c>
    </row>
    <row r="10">
      <c r="A10" s="3">
        <v>8.0</v>
      </c>
      <c r="B10" s="3">
        <v>9053.0</v>
      </c>
      <c r="C10" s="3">
        <v>6216.0</v>
      </c>
      <c r="D10" s="5">
        <f t="shared" si="1"/>
        <v>0.3133767812</v>
      </c>
    </row>
    <row r="11">
      <c r="A11" s="3">
        <v>9.0</v>
      </c>
      <c r="B11" s="3">
        <v>9077.0</v>
      </c>
      <c r="C11" s="3">
        <v>6210.0</v>
      </c>
      <c r="D11" s="5">
        <f t="shared" si="1"/>
        <v>0.3158532555</v>
      </c>
    </row>
    <row r="12">
      <c r="A12" s="3">
        <v>10.0</v>
      </c>
      <c r="B12" s="3">
        <v>4045.0</v>
      </c>
      <c r="C12" s="3">
        <v>3506.0</v>
      </c>
      <c r="D12" s="5">
        <f t="shared" si="1"/>
        <v>0.1332509271</v>
      </c>
    </row>
    <row r="13">
      <c r="A13" s="3">
        <v>11.0</v>
      </c>
      <c r="B13" s="3">
        <v>3750.0</v>
      </c>
      <c r="C13" s="3">
        <v>3264.0</v>
      </c>
      <c r="D13" s="5">
        <f t="shared" si="1"/>
        <v>0.1296</v>
      </c>
    </row>
    <row r="14">
      <c r="A14" s="3">
        <v>12.0</v>
      </c>
      <c r="B14" s="3">
        <v>3723.0</v>
      </c>
      <c r="C14" s="3">
        <v>3211.0</v>
      </c>
      <c r="D14" s="5">
        <f t="shared" si="1"/>
        <v>0.1375235026</v>
      </c>
    </row>
    <row r="15">
      <c r="A15" s="3">
        <v>13.0</v>
      </c>
      <c r="B15" s="3">
        <v>3782.0</v>
      </c>
      <c r="C15" s="3">
        <v>3280.0</v>
      </c>
      <c r="D15" s="5">
        <f t="shared" si="1"/>
        <v>0.1327340032</v>
      </c>
    </row>
    <row r="16">
      <c r="A16" s="3">
        <v>14.0</v>
      </c>
      <c r="B16" s="3">
        <v>3723.0</v>
      </c>
      <c r="C16" s="3">
        <v>3240.0</v>
      </c>
      <c r="D16" s="5">
        <f t="shared" si="1"/>
        <v>0.1297340854</v>
      </c>
    </row>
    <row r="17">
      <c r="A17" s="3">
        <v>15.0</v>
      </c>
      <c r="B17" s="3">
        <v>3761.0</v>
      </c>
      <c r="C17" s="3">
        <v>3290.0</v>
      </c>
      <c r="D17" s="5">
        <f t="shared" si="1"/>
        <v>0.1252326509</v>
      </c>
    </row>
    <row r="18">
      <c r="A18" s="3">
        <v>16.0</v>
      </c>
      <c r="B18" s="3">
        <v>8972.0</v>
      </c>
      <c r="C18" s="3">
        <v>6202.0</v>
      </c>
      <c r="D18" s="5">
        <f t="shared" si="1"/>
        <v>0.3087382969</v>
      </c>
    </row>
    <row r="19">
      <c r="A19" s="3">
        <v>17.0</v>
      </c>
      <c r="B19" s="3">
        <v>9059.0</v>
      </c>
      <c r="C19" s="3">
        <v>6211.0</v>
      </c>
      <c r="D19" s="5">
        <f t="shared" si="1"/>
        <v>0.314383486</v>
      </c>
    </row>
    <row r="20">
      <c r="A20" s="3">
        <v>18.0</v>
      </c>
      <c r="B20" s="3">
        <v>8205.0</v>
      </c>
      <c r="C20" s="3">
        <v>6083.0</v>
      </c>
      <c r="D20" s="5">
        <f t="shared" si="1"/>
        <v>0.258622791</v>
      </c>
    </row>
    <row r="21">
      <c r="A21" s="3">
        <v>19.0</v>
      </c>
      <c r="B21" s="3">
        <v>8146.0</v>
      </c>
      <c r="C21" s="3">
        <v>6072.0</v>
      </c>
      <c r="D21" s="5">
        <f t="shared" si="1"/>
        <v>0.2546034864</v>
      </c>
    </row>
    <row r="22">
      <c r="A22" s="3">
        <v>20.0</v>
      </c>
      <c r="B22" s="3">
        <v>1313.0</v>
      </c>
      <c r="C22" s="3">
        <v>1167.0</v>
      </c>
      <c r="D22" s="5">
        <f t="shared" si="1"/>
        <v>0.111195735</v>
      </c>
    </row>
    <row r="23">
      <c r="A23" s="3">
        <v>21.0</v>
      </c>
      <c r="B23" s="3">
        <v>1004.0</v>
      </c>
      <c r="C23" s="3">
        <v>884.0</v>
      </c>
      <c r="D23" s="5">
        <f t="shared" si="1"/>
        <v>0.1195219124</v>
      </c>
    </row>
    <row r="24">
      <c r="A24" s="3">
        <v>22.0</v>
      </c>
      <c r="B24" s="3">
        <v>967.0</v>
      </c>
      <c r="C24" s="3">
        <v>871.0</v>
      </c>
      <c r="D24" s="5">
        <f t="shared" si="1"/>
        <v>0.09927611169</v>
      </c>
    </row>
    <row r="25">
      <c r="A25" s="3">
        <v>23.0</v>
      </c>
      <c r="B25" s="3">
        <v>944.0</v>
      </c>
      <c r="C25" s="3">
        <v>848.0</v>
      </c>
      <c r="D25" s="5">
        <f t="shared" si="1"/>
        <v>0.1016949153</v>
      </c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18</v>
      </c>
      <c r="C1" s="1" t="s">
        <v>19</v>
      </c>
      <c r="D1" s="1" t="s">
        <v>16</v>
      </c>
    </row>
    <row r="2">
      <c r="A2" s="1" t="s">
        <v>21</v>
      </c>
      <c r="B2" s="1">
        <v>9064.0</v>
      </c>
      <c r="C2" s="1">
        <v>6233.0</v>
      </c>
      <c r="D2" s="1">
        <v>0.312</v>
      </c>
    </row>
    <row r="3">
      <c r="A3" s="1" t="s">
        <v>22</v>
      </c>
      <c r="B3" s="1">
        <v>9136.0</v>
      </c>
      <c r="C3" s="1">
        <v>6233.0</v>
      </c>
      <c r="D3" s="1">
        <v>0.318</v>
      </c>
    </row>
    <row r="4">
      <c r="A4" s="1" t="s">
        <v>23</v>
      </c>
      <c r="B4" s="1">
        <v>9029.0</v>
      </c>
      <c r="C4" s="1">
        <v>6233.0</v>
      </c>
      <c r="D4" s="1">
        <v>0.31</v>
      </c>
    </row>
    <row r="5">
      <c r="A5" s="1" t="s">
        <v>24</v>
      </c>
      <c r="B5" s="1">
        <v>9070.0</v>
      </c>
      <c r="C5" s="1">
        <v>6233.0</v>
      </c>
      <c r="D5" s="1">
        <v>0.313</v>
      </c>
    </row>
    <row r="6">
      <c r="A6" s="1" t="s">
        <v>25</v>
      </c>
      <c r="B6" s="1">
        <v>9013.0</v>
      </c>
      <c r="C6" s="1">
        <v>6233.0</v>
      </c>
      <c r="D6" s="1">
        <v>0.308</v>
      </c>
    </row>
    <row r="7">
      <c r="A7" s="1" t="s">
        <v>26</v>
      </c>
      <c r="B7" s="1">
        <v>9003.0</v>
      </c>
      <c r="C7" s="1">
        <v>6233.0</v>
      </c>
      <c r="D7" s="1">
        <v>0.308</v>
      </c>
    </row>
    <row r="8">
      <c r="A8" s="1" t="s">
        <v>27</v>
      </c>
      <c r="B8" s="1">
        <v>9027.0</v>
      </c>
      <c r="C8" s="1">
        <v>6233.0</v>
      </c>
      <c r="D8" s="1">
        <v>0.31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0"/>
    <col customWidth="1" min="3" max="3" width="14.88"/>
  </cols>
  <sheetData>
    <row r="1">
      <c r="A1" s="2" t="s">
        <v>20</v>
      </c>
      <c r="B1" s="2" t="s">
        <v>18</v>
      </c>
      <c r="C1" s="2" t="s">
        <v>19</v>
      </c>
      <c r="D1" s="2" t="s">
        <v>16</v>
      </c>
    </row>
    <row r="2">
      <c r="A2" s="3" t="s">
        <v>21</v>
      </c>
      <c r="B2" s="3">
        <v>9064.0</v>
      </c>
      <c r="C2" s="3">
        <v>6233.0</v>
      </c>
      <c r="D2" s="9">
        <f t="shared" ref="D2:D8" si="1">IFERROR((B2-C2) / B2, "")</f>
        <v>0.3123345102</v>
      </c>
    </row>
    <row r="3">
      <c r="A3" s="3" t="s">
        <v>22</v>
      </c>
      <c r="B3" s="3">
        <v>9136.0</v>
      </c>
      <c r="C3" s="3">
        <v>6233.0</v>
      </c>
      <c r="D3" s="9">
        <f t="shared" si="1"/>
        <v>0.3177539405</v>
      </c>
    </row>
    <row r="4">
      <c r="A4" s="3" t="s">
        <v>23</v>
      </c>
      <c r="B4" s="3">
        <v>9029.0</v>
      </c>
      <c r="C4" s="3">
        <v>6233.0</v>
      </c>
      <c r="D4" s="9">
        <f t="shared" si="1"/>
        <v>0.3096688448</v>
      </c>
    </row>
    <row r="5">
      <c r="A5" s="3" t="s">
        <v>24</v>
      </c>
      <c r="B5" s="3">
        <v>9070.0</v>
      </c>
      <c r="C5" s="3">
        <v>6233.0</v>
      </c>
      <c r="D5" s="9">
        <f t="shared" si="1"/>
        <v>0.3127894157</v>
      </c>
    </row>
    <row r="6">
      <c r="A6" s="3" t="s">
        <v>25</v>
      </c>
      <c r="B6" s="3">
        <v>9013.0</v>
      </c>
      <c r="C6" s="3">
        <v>6233.0</v>
      </c>
      <c r="D6" s="9">
        <f t="shared" si="1"/>
        <v>0.3084433596</v>
      </c>
    </row>
    <row r="7">
      <c r="A7" s="3" t="s">
        <v>26</v>
      </c>
      <c r="B7" s="3">
        <v>9003.0</v>
      </c>
      <c r="C7" s="3">
        <v>6233.0</v>
      </c>
      <c r="D7" s="9">
        <f t="shared" si="1"/>
        <v>0.3076752194</v>
      </c>
    </row>
    <row r="8">
      <c r="A8" s="3" t="s">
        <v>27</v>
      </c>
      <c r="B8" s="3">
        <v>9027.0</v>
      </c>
      <c r="C8" s="3">
        <v>6233.0</v>
      </c>
      <c r="D8" s="9">
        <f t="shared" si="1"/>
        <v>0.3095158968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28</v>
      </c>
      <c r="C1" s="1" t="s">
        <v>17</v>
      </c>
      <c r="D1" s="1" t="s">
        <v>18</v>
      </c>
      <c r="E1" s="1" t="s">
        <v>19</v>
      </c>
      <c r="F1" s="1" t="s">
        <v>16</v>
      </c>
    </row>
    <row r="2">
      <c r="A2" s="1" t="s">
        <v>21</v>
      </c>
      <c r="B2" s="1">
        <v>1.0</v>
      </c>
      <c r="C2" s="1">
        <v>0.0</v>
      </c>
      <c r="D2" s="1">
        <v>136.0</v>
      </c>
      <c r="E2" s="1">
        <v>126.0</v>
      </c>
      <c r="F2" s="1">
        <v>0.074</v>
      </c>
    </row>
    <row r="3">
      <c r="A3" s="1" t="s">
        <v>21</v>
      </c>
      <c r="B3" s="1">
        <v>1.0</v>
      </c>
      <c r="C3" s="1">
        <v>1.0</v>
      </c>
      <c r="D3" s="1">
        <v>157.0</v>
      </c>
      <c r="E3" s="1">
        <v>144.0</v>
      </c>
      <c r="F3" s="1">
        <v>0.083</v>
      </c>
    </row>
    <row r="4">
      <c r="A4" s="1" t="s">
        <v>21</v>
      </c>
      <c r="B4" s="1">
        <v>1.0</v>
      </c>
      <c r="C4" s="1">
        <v>2.0</v>
      </c>
      <c r="D4" s="1">
        <v>146.0</v>
      </c>
      <c r="E4" s="1">
        <v>134.0</v>
      </c>
      <c r="F4" s="1">
        <v>0.082</v>
      </c>
    </row>
    <row r="5">
      <c r="A5" s="1" t="s">
        <v>21</v>
      </c>
      <c r="B5" s="1">
        <v>1.0</v>
      </c>
      <c r="C5" s="1">
        <v>3.0</v>
      </c>
      <c r="D5" s="1">
        <v>131.0</v>
      </c>
      <c r="E5" s="1">
        <v>117.0</v>
      </c>
      <c r="F5" s="1">
        <v>0.107</v>
      </c>
    </row>
    <row r="6">
      <c r="A6" s="1" t="s">
        <v>21</v>
      </c>
      <c r="B6" s="1">
        <v>1.0</v>
      </c>
      <c r="C6" s="1">
        <v>4.0</v>
      </c>
      <c r="D6" s="1">
        <v>119.0</v>
      </c>
      <c r="E6" s="1">
        <v>104.0</v>
      </c>
      <c r="F6" s="1">
        <v>0.126</v>
      </c>
    </row>
    <row r="7">
      <c r="A7" s="1" t="s">
        <v>21</v>
      </c>
      <c r="B7" s="1">
        <v>1.0</v>
      </c>
      <c r="C7" s="1">
        <v>5.0</v>
      </c>
      <c r="D7" s="1">
        <v>160.0</v>
      </c>
      <c r="E7" s="1">
        <v>146.0</v>
      </c>
      <c r="F7" s="1">
        <v>0.088</v>
      </c>
    </row>
    <row r="8">
      <c r="A8" s="1" t="s">
        <v>21</v>
      </c>
      <c r="B8" s="1">
        <v>1.0</v>
      </c>
      <c r="C8" s="1">
        <v>6.0</v>
      </c>
      <c r="D8" s="1">
        <v>141.0</v>
      </c>
      <c r="E8" s="1">
        <v>121.0</v>
      </c>
      <c r="F8" s="1">
        <v>0.142</v>
      </c>
    </row>
    <row r="9">
      <c r="A9" s="1" t="s">
        <v>21</v>
      </c>
      <c r="B9" s="1">
        <v>1.0</v>
      </c>
      <c r="C9" s="1">
        <v>7.0</v>
      </c>
      <c r="D9" s="1">
        <v>153.0</v>
      </c>
      <c r="E9" s="1">
        <v>140.0</v>
      </c>
      <c r="F9" s="1">
        <v>0.085</v>
      </c>
    </row>
    <row r="10">
      <c r="A10" s="1" t="s">
        <v>21</v>
      </c>
      <c r="B10" s="1">
        <v>1.0</v>
      </c>
      <c r="C10" s="1">
        <v>8.0</v>
      </c>
      <c r="D10" s="1">
        <v>4135.0</v>
      </c>
      <c r="E10" s="1">
        <v>3600.0</v>
      </c>
      <c r="F10" s="1">
        <v>0.129</v>
      </c>
    </row>
    <row r="11">
      <c r="A11" s="1" t="s">
        <v>21</v>
      </c>
      <c r="B11" s="1">
        <v>1.0</v>
      </c>
      <c r="C11" s="1">
        <v>9.0</v>
      </c>
      <c r="D11" s="1">
        <v>4159.0</v>
      </c>
      <c r="E11" s="1">
        <v>3639.0</v>
      </c>
      <c r="F11" s="1">
        <v>0.125</v>
      </c>
    </row>
    <row r="12">
      <c r="A12" s="1" t="s">
        <v>21</v>
      </c>
      <c r="B12" s="1">
        <v>1.0</v>
      </c>
      <c r="C12" s="1">
        <v>10.0</v>
      </c>
      <c r="D12" s="1">
        <v>755.0</v>
      </c>
      <c r="E12" s="1">
        <v>664.0</v>
      </c>
      <c r="F12" s="1">
        <v>0.121</v>
      </c>
    </row>
    <row r="13">
      <c r="A13" s="1" t="s">
        <v>21</v>
      </c>
      <c r="B13" s="1">
        <v>1.0</v>
      </c>
      <c r="C13" s="1">
        <v>11.0</v>
      </c>
      <c r="D13" s="1">
        <v>728.0</v>
      </c>
      <c r="E13" s="1">
        <v>654.0</v>
      </c>
      <c r="F13" s="1">
        <v>0.102</v>
      </c>
    </row>
    <row r="14">
      <c r="A14" s="1" t="s">
        <v>21</v>
      </c>
      <c r="B14" s="1">
        <v>1.0</v>
      </c>
      <c r="C14" s="1">
        <v>12.0</v>
      </c>
      <c r="D14" s="1">
        <v>716.0</v>
      </c>
      <c r="E14" s="1">
        <v>632.0</v>
      </c>
      <c r="F14" s="1">
        <v>0.117</v>
      </c>
    </row>
    <row r="15">
      <c r="A15" s="1" t="s">
        <v>21</v>
      </c>
      <c r="B15" s="1">
        <v>1.0</v>
      </c>
      <c r="C15" s="1">
        <v>13.0</v>
      </c>
      <c r="D15" s="1">
        <v>650.0</v>
      </c>
      <c r="E15" s="1">
        <v>577.0</v>
      </c>
      <c r="F15" s="1">
        <v>0.112</v>
      </c>
    </row>
    <row r="16">
      <c r="A16" s="1" t="s">
        <v>21</v>
      </c>
      <c r="B16" s="1">
        <v>1.0</v>
      </c>
      <c r="C16" s="1">
        <v>14.0</v>
      </c>
      <c r="D16" s="1">
        <v>682.0</v>
      </c>
      <c r="E16" s="1">
        <v>602.0</v>
      </c>
      <c r="F16" s="1">
        <v>0.117</v>
      </c>
    </row>
    <row r="17">
      <c r="A17" s="1" t="s">
        <v>21</v>
      </c>
      <c r="B17" s="1">
        <v>1.0</v>
      </c>
      <c r="C17" s="1">
        <v>15.0</v>
      </c>
      <c r="D17" s="1">
        <v>691.0</v>
      </c>
      <c r="E17" s="1">
        <v>629.0</v>
      </c>
      <c r="F17" s="1">
        <v>0.09</v>
      </c>
    </row>
    <row r="18">
      <c r="A18" s="1" t="s">
        <v>21</v>
      </c>
      <c r="B18" s="1">
        <v>1.0</v>
      </c>
      <c r="C18" s="1">
        <v>16.0</v>
      </c>
      <c r="D18" s="1">
        <v>4040.0</v>
      </c>
      <c r="E18" s="1">
        <v>3535.0</v>
      </c>
      <c r="F18" s="1">
        <v>0.125</v>
      </c>
    </row>
    <row r="19">
      <c r="A19" s="1" t="s">
        <v>21</v>
      </c>
      <c r="B19" s="1">
        <v>1.0</v>
      </c>
      <c r="C19" s="1">
        <v>17.0</v>
      </c>
      <c r="D19" s="1">
        <v>4063.0</v>
      </c>
      <c r="E19" s="1">
        <v>3518.0</v>
      </c>
      <c r="F19" s="1">
        <v>0.134</v>
      </c>
    </row>
    <row r="20">
      <c r="A20" s="1" t="s">
        <v>21</v>
      </c>
      <c r="B20" s="1">
        <v>1.0</v>
      </c>
      <c r="C20" s="1">
        <v>18.0</v>
      </c>
      <c r="D20" s="1">
        <v>3034.0</v>
      </c>
      <c r="E20" s="1">
        <v>2665.0</v>
      </c>
      <c r="F20" s="1">
        <v>0.122</v>
      </c>
    </row>
    <row r="21">
      <c r="A21" s="1" t="s">
        <v>21</v>
      </c>
      <c r="B21" s="1">
        <v>1.0</v>
      </c>
      <c r="C21" s="1">
        <v>19.0</v>
      </c>
      <c r="D21" s="1">
        <v>2950.0</v>
      </c>
      <c r="E21" s="1">
        <v>2624.0</v>
      </c>
      <c r="F21" s="1">
        <v>0.111</v>
      </c>
    </row>
    <row r="22">
      <c r="A22" s="1" t="s">
        <v>21</v>
      </c>
      <c r="B22" s="1">
        <v>1.0</v>
      </c>
      <c r="C22" s="1">
        <v>20.0</v>
      </c>
      <c r="D22" s="1">
        <v>192.0</v>
      </c>
      <c r="E22" s="1">
        <v>177.0</v>
      </c>
      <c r="F22" s="1">
        <v>0.078</v>
      </c>
    </row>
    <row r="23">
      <c r="A23" s="1" t="s">
        <v>21</v>
      </c>
      <c r="B23" s="1">
        <v>1.0</v>
      </c>
      <c r="C23" s="1">
        <v>21.0</v>
      </c>
      <c r="D23" s="1">
        <v>152.0</v>
      </c>
      <c r="E23" s="1">
        <v>126.0</v>
      </c>
      <c r="F23" s="1">
        <v>0.171</v>
      </c>
    </row>
    <row r="24">
      <c r="A24" s="1" t="s">
        <v>21</v>
      </c>
      <c r="B24" s="1">
        <v>1.0</v>
      </c>
      <c r="C24" s="1">
        <v>22.0</v>
      </c>
      <c r="D24" s="1">
        <v>126.0</v>
      </c>
      <c r="E24" s="1">
        <v>109.0</v>
      </c>
      <c r="F24" s="1">
        <v>0.135</v>
      </c>
    </row>
    <row r="25">
      <c r="A25" s="1" t="s">
        <v>21</v>
      </c>
      <c r="B25" s="1">
        <v>1.0</v>
      </c>
      <c r="C25" s="1">
        <v>23.0</v>
      </c>
      <c r="D25" s="1">
        <v>136.0</v>
      </c>
      <c r="E25" s="1">
        <v>121.0</v>
      </c>
      <c r="F25" s="1">
        <v>0.11</v>
      </c>
    </row>
    <row r="26">
      <c r="A26" s="1" t="s">
        <v>22</v>
      </c>
      <c r="B26" s="1">
        <v>2.0</v>
      </c>
      <c r="C26" s="1">
        <v>0.0</v>
      </c>
      <c r="D26" s="1">
        <v>150.0</v>
      </c>
      <c r="E26" s="1">
        <v>133.0</v>
      </c>
      <c r="F26" s="1">
        <v>0.113</v>
      </c>
    </row>
    <row r="27">
      <c r="A27" s="1" t="s">
        <v>22</v>
      </c>
      <c r="B27" s="1">
        <v>2.0</v>
      </c>
      <c r="C27" s="1">
        <v>1.0</v>
      </c>
      <c r="D27" s="1">
        <v>128.0</v>
      </c>
      <c r="E27" s="1">
        <v>118.0</v>
      </c>
      <c r="F27" s="1">
        <v>0.078</v>
      </c>
    </row>
    <row r="28">
      <c r="A28" s="1" t="s">
        <v>22</v>
      </c>
      <c r="B28" s="1">
        <v>2.0</v>
      </c>
      <c r="C28" s="1">
        <v>2.0</v>
      </c>
      <c r="D28" s="1">
        <v>146.0</v>
      </c>
      <c r="E28" s="1">
        <v>131.0</v>
      </c>
      <c r="F28" s="1">
        <v>0.103</v>
      </c>
    </row>
    <row r="29">
      <c r="A29" s="1" t="s">
        <v>22</v>
      </c>
      <c r="B29" s="1">
        <v>2.0</v>
      </c>
      <c r="C29" s="1">
        <v>3.0</v>
      </c>
      <c r="D29" s="1">
        <v>139.0</v>
      </c>
      <c r="E29" s="1">
        <v>118.0</v>
      </c>
      <c r="F29" s="1">
        <v>0.151</v>
      </c>
    </row>
    <row r="30">
      <c r="A30" s="1" t="s">
        <v>22</v>
      </c>
      <c r="B30" s="1">
        <v>2.0</v>
      </c>
      <c r="C30" s="1">
        <v>4.0</v>
      </c>
      <c r="D30" s="1">
        <v>140.0</v>
      </c>
      <c r="E30" s="1">
        <v>127.0</v>
      </c>
      <c r="F30" s="1">
        <v>0.093</v>
      </c>
    </row>
    <row r="31">
      <c r="A31" s="1" t="s">
        <v>22</v>
      </c>
      <c r="B31" s="1">
        <v>2.0</v>
      </c>
      <c r="C31" s="1">
        <v>5.0</v>
      </c>
      <c r="D31" s="1">
        <v>167.0</v>
      </c>
      <c r="E31" s="1">
        <v>147.0</v>
      </c>
      <c r="F31" s="1">
        <v>0.12</v>
      </c>
    </row>
    <row r="32">
      <c r="A32" s="1" t="s">
        <v>22</v>
      </c>
      <c r="B32" s="1">
        <v>2.0</v>
      </c>
      <c r="C32" s="1">
        <v>6.0</v>
      </c>
      <c r="D32" s="1">
        <v>152.0</v>
      </c>
      <c r="E32" s="1">
        <v>136.0</v>
      </c>
      <c r="F32" s="1">
        <v>0.105</v>
      </c>
    </row>
    <row r="33">
      <c r="A33" s="1" t="s">
        <v>22</v>
      </c>
      <c r="B33" s="1">
        <v>2.0</v>
      </c>
      <c r="C33" s="1">
        <v>7.0</v>
      </c>
      <c r="D33" s="1">
        <v>145.0</v>
      </c>
      <c r="E33" s="1">
        <v>131.0</v>
      </c>
      <c r="F33" s="1">
        <v>0.097</v>
      </c>
    </row>
    <row r="34">
      <c r="A34" s="1" t="s">
        <v>22</v>
      </c>
      <c r="B34" s="1">
        <v>2.0</v>
      </c>
      <c r="C34" s="1">
        <v>8.0</v>
      </c>
      <c r="D34" s="1">
        <v>4110.0</v>
      </c>
      <c r="E34" s="1">
        <v>3551.0</v>
      </c>
      <c r="F34" s="1">
        <v>0.136</v>
      </c>
    </row>
    <row r="35">
      <c r="A35" s="1" t="s">
        <v>22</v>
      </c>
      <c r="B35" s="1">
        <v>2.0</v>
      </c>
      <c r="C35" s="1">
        <v>9.0</v>
      </c>
      <c r="D35" s="1">
        <v>4134.0</v>
      </c>
      <c r="E35" s="1">
        <v>3570.0</v>
      </c>
      <c r="F35" s="1">
        <v>0.136</v>
      </c>
    </row>
    <row r="36">
      <c r="A36" s="1" t="s">
        <v>22</v>
      </c>
      <c r="B36" s="1">
        <v>2.0</v>
      </c>
      <c r="C36" s="1">
        <v>10.0</v>
      </c>
      <c r="D36" s="1">
        <v>758.0</v>
      </c>
      <c r="E36" s="1">
        <v>661.0</v>
      </c>
      <c r="F36" s="1">
        <v>0.128</v>
      </c>
    </row>
    <row r="37">
      <c r="A37" s="1" t="s">
        <v>22</v>
      </c>
      <c r="B37" s="1">
        <v>2.0</v>
      </c>
      <c r="C37" s="1">
        <v>11.0</v>
      </c>
      <c r="D37" s="1">
        <v>688.0</v>
      </c>
      <c r="E37" s="1">
        <v>620.0</v>
      </c>
      <c r="F37" s="1">
        <v>0.099</v>
      </c>
    </row>
    <row r="38">
      <c r="A38" s="1" t="s">
        <v>22</v>
      </c>
      <c r="B38" s="1">
        <v>2.0</v>
      </c>
      <c r="C38" s="1">
        <v>12.0</v>
      </c>
      <c r="D38" s="1">
        <v>714.0</v>
      </c>
      <c r="E38" s="1">
        <v>641.0</v>
      </c>
      <c r="F38" s="1">
        <v>0.102</v>
      </c>
    </row>
    <row r="39">
      <c r="A39" s="1" t="s">
        <v>22</v>
      </c>
      <c r="B39" s="1">
        <v>2.0</v>
      </c>
      <c r="C39" s="1">
        <v>13.0</v>
      </c>
      <c r="D39" s="1">
        <v>741.0</v>
      </c>
      <c r="E39" s="1">
        <v>674.0</v>
      </c>
      <c r="F39" s="1">
        <v>0.09</v>
      </c>
    </row>
    <row r="40">
      <c r="A40" s="1" t="s">
        <v>22</v>
      </c>
      <c r="B40" s="1">
        <v>2.0</v>
      </c>
      <c r="C40" s="1">
        <v>14.0</v>
      </c>
      <c r="D40" s="1">
        <v>723.0</v>
      </c>
      <c r="E40" s="1">
        <v>644.0</v>
      </c>
      <c r="F40" s="1">
        <v>0.109</v>
      </c>
    </row>
    <row r="41">
      <c r="A41" s="1" t="s">
        <v>22</v>
      </c>
      <c r="B41" s="1">
        <v>2.0</v>
      </c>
      <c r="C41" s="1">
        <v>15.0</v>
      </c>
      <c r="D41" s="1">
        <v>694.0</v>
      </c>
      <c r="E41" s="1">
        <v>617.0</v>
      </c>
      <c r="F41" s="1">
        <v>0.111</v>
      </c>
    </row>
    <row r="42">
      <c r="A42" s="1" t="s">
        <v>22</v>
      </c>
      <c r="B42" s="1">
        <v>2.0</v>
      </c>
      <c r="C42" s="1">
        <v>16.0</v>
      </c>
      <c r="D42" s="1">
        <v>4015.0</v>
      </c>
      <c r="E42" s="1">
        <v>3491.0</v>
      </c>
      <c r="F42" s="1">
        <v>0.131</v>
      </c>
    </row>
    <row r="43">
      <c r="A43" s="1" t="s">
        <v>22</v>
      </c>
      <c r="B43" s="1">
        <v>2.0</v>
      </c>
      <c r="C43" s="1">
        <v>17.0</v>
      </c>
      <c r="D43" s="1">
        <v>4081.0</v>
      </c>
      <c r="E43" s="1">
        <v>3555.0</v>
      </c>
      <c r="F43" s="1">
        <v>0.129</v>
      </c>
    </row>
    <row r="44">
      <c r="A44" s="1" t="s">
        <v>22</v>
      </c>
      <c r="B44" s="1">
        <v>2.0</v>
      </c>
      <c r="C44" s="1">
        <v>18.0</v>
      </c>
      <c r="D44" s="1">
        <v>3084.0</v>
      </c>
      <c r="E44" s="1">
        <v>2704.0</v>
      </c>
      <c r="F44" s="1">
        <v>0.123</v>
      </c>
    </row>
    <row r="45">
      <c r="A45" s="1" t="s">
        <v>22</v>
      </c>
      <c r="B45" s="1">
        <v>2.0</v>
      </c>
      <c r="C45" s="1">
        <v>19.0</v>
      </c>
      <c r="D45" s="1">
        <v>2986.0</v>
      </c>
      <c r="E45" s="1">
        <v>2630.0</v>
      </c>
      <c r="F45" s="1">
        <v>0.119</v>
      </c>
    </row>
    <row r="46">
      <c r="A46" s="1" t="s">
        <v>22</v>
      </c>
      <c r="B46" s="1">
        <v>2.0</v>
      </c>
      <c r="C46" s="1">
        <v>20.0</v>
      </c>
      <c r="D46" s="1">
        <v>206.0</v>
      </c>
      <c r="E46" s="1">
        <v>184.0</v>
      </c>
      <c r="F46" s="1">
        <v>0.107</v>
      </c>
    </row>
    <row r="47">
      <c r="A47" s="1" t="s">
        <v>22</v>
      </c>
      <c r="B47" s="1">
        <v>2.0</v>
      </c>
      <c r="C47" s="1">
        <v>21.0</v>
      </c>
      <c r="D47" s="1">
        <v>140.0</v>
      </c>
      <c r="E47" s="1">
        <v>128.0</v>
      </c>
      <c r="F47" s="1">
        <v>0.086</v>
      </c>
    </row>
    <row r="48">
      <c r="A48" s="1" t="s">
        <v>22</v>
      </c>
      <c r="B48" s="1">
        <v>2.0</v>
      </c>
      <c r="C48" s="1">
        <v>22.0</v>
      </c>
      <c r="D48" s="1">
        <v>149.0</v>
      </c>
      <c r="E48" s="1">
        <v>134.0</v>
      </c>
      <c r="F48" s="1">
        <v>0.101</v>
      </c>
    </row>
    <row r="49">
      <c r="A49" s="1" t="s">
        <v>22</v>
      </c>
      <c r="B49" s="1">
        <v>2.0</v>
      </c>
      <c r="C49" s="1">
        <v>23.0</v>
      </c>
      <c r="D49" s="1">
        <v>158.0</v>
      </c>
      <c r="E49" s="1">
        <v>145.0</v>
      </c>
      <c r="F49" s="1">
        <v>0.082</v>
      </c>
    </row>
    <row r="50">
      <c r="A50" s="1" t="s">
        <v>23</v>
      </c>
      <c r="B50" s="1">
        <v>3.0</v>
      </c>
      <c r="C50" s="1">
        <v>0.0</v>
      </c>
      <c r="D50" s="1">
        <v>153.0</v>
      </c>
      <c r="E50" s="1">
        <v>133.0</v>
      </c>
      <c r="F50" s="1">
        <v>0.131</v>
      </c>
    </row>
    <row r="51">
      <c r="A51" s="1" t="s">
        <v>23</v>
      </c>
      <c r="B51" s="1">
        <v>3.0</v>
      </c>
      <c r="C51" s="1">
        <v>1.0</v>
      </c>
      <c r="D51" s="1">
        <v>152.0</v>
      </c>
      <c r="E51" s="1">
        <v>131.0</v>
      </c>
      <c r="F51" s="1">
        <v>0.138</v>
      </c>
    </row>
    <row r="52">
      <c r="A52" s="1" t="s">
        <v>23</v>
      </c>
      <c r="B52" s="1">
        <v>3.0</v>
      </c>
      <c r="C52" s="1">
        <v>2.0</v>
      </c>
      <c r="D52" s="1">
        <v>157.0</v>
      </c>
      <c r="E52" s="1">
        <v>137.0</v>
      </c>
      <c r="F52" s="1">
        <v>0.127</v>
      </c>
    </row>
    <row r="53">
      <c r="A53" s="1" t="s">
        <v>23</v>
      </c>
      <c r="B53" s="1">
        <v>3.0</v>
      </c>
      <c r="C53" s="1">
        <v>3.0</v>
      </c>
      <c r="D53" s="1">
        <v>156.0</v>
      </c>
      <c r="E53" s="1">
        <v>142.0</v>
      </c>
      <c r="F53" s="1">
        <v>0.09</v>
      </c>
    </row>
    <row r="54">
      <c r="A54" s="1" t="s">
        <v>23</v>
      </c>
      <c r="B54" s="1">
        <v>3.0</v>
      </c>
      <c r="C54" s="1">
        <v>4.0</v>
      </c>
      <c r="D54" s="1">
        <v>147.0</v>
      </c>
      <c r="E54" s="1">
        <v>134.0</v>
      </c>
      <c r="F54" s="1">
        <v>0.088</v>
      </c>
    </row>
    <row r="55">
      <c r="A55" s="1" t="s">
        <v>23</v>
      </c>
      <c r="B55" s="1">
        <v>3.0</v>
      </c>
      <c r="C55" s="1">
        <v>5.0</v>
      </c>
      <c r="D55" s="1">
        <v>146.0</v>
      </c>
      <c r="E55" s="1">
        <v>130.0</v>
      </c>
      <c r="F55" s="1">
        <v>0.11</v>
      </c>
    </row>
    <row r="56">
      <c r="A56" s="1" t="s">
        <v>23</v>
      </c>
      <c r="B56" s="1">
        <v>3.0</v>
      </c>
      <c r="C56" s="1">
        <v>6.0</v>
      </c>
      <c r="D56" s="1">
        <v>160.0</v>
      </c>
      <c r="E56" s="1">
        <v>142.0</v>
      </c>
      <c r="F56" s="1">
        <v>0.113</v>
      </c>
    </row>
    <row r="57">
      <c r="A57" s="1" t="s">
        <v>23</v>
      </c>
      <c r="B57" s="1">
        <v>3.0</v>
      </c>
      <c r="C57" s="1">
        <v>7.0</v>
      </c>
      <c r="D57" s="1">
        <v>153.0</v>
      </c>
      <c r="E57" s="1">
        <v>135.0</v>
      </c>
      <c r="F57" s="1">
        <v>0.118</v>
      </c>
    </row>
    <row r="58">
      <c r="A58" s="1" t="s">
        <v>23</v>
      </c>
      <c r="B58" s="1">
        <v>3.0</v>
      </c>
      <c r="C58" s="1">
        <v>8.0</v>
      </c>
      <c r="D58" s="1">
        <v>4118.0</v>
      </c>
      <c r="E58" s="1">
        <v>3605.0</v>
      </c>
      <c r="F58" s="1">
        <v>0.125</v>
      </c>
    </row>
    <row r="59">
      <c r="A59" s="1" t="s">
        <v>23</v>
      </c>
      <c r="B59" s="1">
        <v>3.0</v>
      </c>
      <c r="C59" s="1">
        <v>9.0</v>
      </c>
      <c r="D59" s="1">
        <v>4069.0</v>
      </c>
      <c r="E59" s="1">
        <v>3545.0</v>
      </c>
      <c r="F59" s="1">
        <v>0.129</v>
      </c>
    </row>
    <row r="60">
      <c r="A60" s="1" t="s">
        <v>23</v>
      </c>
      <c r="B60" s="1">
        <v>3.0</v>
      </c>
      <c r="C60" s="1">
        <v>10.0</v>
      </c>
      <c r="D60" s="1">
        <v>782.0</v>
      </c>
      <c r="E60" s="1">
        <v>714.0</v>
      </c>
      <c r="F60" s="1">
        <v>0.087</v>
      </c>
    </row>
    <row r="61">
      <c r="A61" s="1" t="s">
        <v>23</v>
      </c>
      <c r="B61" s="1">
        <v>3.0</v>
      </c>
      <c r="C61" s="1">
        <v>11.0</v>
      </c>
      <c r="D61" s="1">
        <v>698.0</v>
      </c>
      <c r="E61" s="1">
        <v>622.0</v>
      </c>
      <c r="F61" s="1">
        <v>0.109</v>
      </c>
    </row>
    <row r="62">
      <c r="A62" s="1" t="s">
        <v>23</v>
      </c>
      <c r="B62" s="1">
        <v>3.0</v>
      </c>
      <c r="C62" s="1">
        <v>12.0</v>
      </c>
      <c r="D62" s="1">
        <v>631.0</v>
      </c>
      <c r="E62" s="1">
        <v>567.0</v>
      </c>
      <c r="F62" s="1">
        <v>0.101</v>
      </c>
    </row>
    <row r="63">
      <c r="A63" s="1" t="s">
        <v>23</v>
      </c>
      <c r="B63" s="1">
        <v>3.0</v>
      </c>
      <c r="C63" s="1">
        <v>13.0</v>
      </c>
      <c r="D63" s="1">
        <v>711.0</v>
      </c>
      <c r="E63" s="1">
        <v>637.0</v>
      </c>
      <c r="F63" s="1">
        <v>0.104</v>
      </c>
    </row>
    <row r="64">
      <c r="A64" s="1" t="s">
        <v>23</v>
      </c>
      <c r="B64" s="1">
        <v>3.0</v>
      </c>
      <c r="C64" s="1">
        <v>14.0</v>
      </c>
      <c r="D64" s="1">
        <v>644.0</v>
      </c>
      <c r="E64" s="1">
        <v>574.0</v>
      </c>
      <c r="F64" s="1">
        <v>0.109</v>
      </c>
    </row>
    <row r="65">
      <c r="A65" s="1" t="s">
        <v>23</v>
      </c>
      <c r="B65" s="1">
        <v>3.0</v>
      </c>
      <c r="C65" s="1">
        <v>15.0</v>
      </c>
      <c r="D65" s="1">
        <v>717.0</v>
      </c>
      <c r="E65" s="1">
        <v>639.0</v>
      </c>
      <c r="F65" s="1">
        <v>0.109</v>
      </c>
    </row>
    <row r="66">
      <c r="A66" s="1" t="s">
        <v>23</v>
      </c>
      <c r="B66" s="1">
        <v>3.0</v>
      </c>
      <c r="C66" s="1">
        <v>16.0</v>
      </c>
      <c r="D66" s="1">
        <v>4026.0</v>
      </c>
      <c r="E66" s="1">
        <v>3539.0</v>
      </c>
      <c r="F66" s="1">
        <v>0.121</v>
      </c>
    </row>
    <row r="67">
      <c r="A67" s="1" t="s">
        <v>23</v>
      </c>
      <c r="B67" s="1">
        <v>3.0</v>
      </c>
      <c r="C67" s="1">
        <v>17.0</v>
      </c>
      <c r="D67" s="1">
        <v>3987.0</v>
      </c>
      <c r="E67" s="1">
        <v>3462.0</v>
      </c>
      <c r="F67" s="1">
        <v>0.132</v>
      </c>
    </row>
    <row r="68">
      <c r="A68" s="1" t="s">
        <v>23</v>
      </c>
      <c r="B68" s="1">
        <v>3.0</v>
      </c>
      <c r="C68" s="1">
        <v>18.0</v>
      </c>
      <c r="D68" s="1">
        <v>3027.0</v>
      </c>
      <c r="E68" s="1">
        <v>2681.0</v>
      </c>
      <c r="F68" s="1">
        <v>0.114</v>
      </c>
    </row>
    <row r="69">
      <c r="A69" s="1" t="s">
        <v>23</v>
      </c>
      <c r="B69" s="1">
        <v>3.0</v>
      </c>
      <c r="C69" s="1">
        <v>19.0</v>
      </c>
      <c r="D69" s="1">
        <v>3026.0</v>
      </c>
      <c r="E69" s="1">
        <v>2653.0</v>
      </c>
      <c r="F69" s="1">
        <v>0.123</v>
      </c>
    </row>
    <row r="70">
      <c r="A70" s="1" t="s">
        <v>23</v>
      </c>
      <c r="B70" s="1">
        <v>3.0</v>
      </c>
      <c r="C70" s="1">
        <v>20.0</v>
      </c>
      <c r="D70" s="1">
        <v>195.0</v>
      </c>
      <c r="E70" s="1">
        <v>174.0</v>
      </c>
      <c r="F70" s="1">
        <v>0.108</v>
      </c>
    </row>
    <row r="71">
      <c r="A71" s="1" t="s">
        <v>23</v>
      </c>
      <c r="B71" s="1">
        <v>3.0</v>
      </c>
      <c r="C71" s="1">
        <v>21.0</v>
      </c>
      <c r="D71" s="1">
        <v>155.0</v>
      </c>
      <c r="E71" s="1">
        <v>140.0</v>
      </c>
      <c r="F71" s="1">
        <v>0.097</v>
      </c>
    </row>
    <row r="72">
      <c r="A72" s="1" t="s">
        <v>23</v>
      </c>
      <c r="B72" s="1">
        <v>3.0</v>
      </c>
      <c r="C72" s="1">
        <v>22.0</v>
      </c>
      <c r="D72" s="1">
        <v>169.0</v>
      </c>
      <c r="E72" s="1">
        <v>156.0</v>
      </c>
      <c r="F72" s="1">
        <v>0.077</v>
      </c>
    </row>
    <row r="73">
      <c r="A73" s="1" t="s">
        <v>23</v>
      </c>
      <c r="B73" s="1">
        <v>3.0</v>
      </c>
      <c r="C73" s="1">
        <v>23.0</v>
      </c>
      <c r="D73" s="1">
        <v>129.0</v>
      </c>
      <c r="E73" s="1">
        <v>115.0</v>
      </c>
      <c r="F73" s="1">
        <v>0.109</v>
      </c>
    </row>
    <row r="74">
      <c r="A74" s="1" t="s">
        <v>24</v>
      </c>
      <c r="B74" s="1">
        <v>4.0</v>
      </c>
      <c r="C74" s="1">
        <v>0.0</v>
      </c>
      <c r="D74" s="1">
        <v>142.0</v>
      </c>
      <c r="E74" s="1">
        <v>128.0</v>
      </c>
      <c r="F74" s="1">
        <v>0.099</v>
      </c>
    </row>
    <row r="75">
      <c r="A75" s="1" t="s">
        <v>24</v>
      </c>
      <c r="B75" s="1">
        <v>4.0</v>
      </c>
      <c r="C75" s="1">
        <v>1.0</v>
      </c>
      <c r="D75" s="1">
        <v>146.0</v>
      </c>
      <c r="E75" s="1">
        <v>133.0</v>
      </c>
      <c r="F75" s="1">
        <v>0.089</v>
      </c>
    </row>
    <row r="76">
      <c r="A76" s="1" t="s">
        <v>24</v>
      </c>
      <c r="B76" s="1">
        <v>4.0</v>
      </c>
      <c r="C76" s="1">
        <v>2.0</v>
      </c>
      <c r="D76" s="1">
        <v>133.0</v>
      </c>
      <c r="E76" s="1">
        <v>116.0</v>
      </c>
      <c r="F76" s="1">
        <v>0.128</v>
      </c>
    </row>
    <row r="77">
      <c r="A77" s="1" t="s">
        <v>24</v>
      </c>
      <c r="B77" s="1">
        <v>4.0</v>
      </c>
      <c r="C77" s="1">
        <v>3.0</v>
      </c>
      <c r="D77" s="1">
        <v>156.0</v>
      </c>
      <c r="E77" s="1">
        <v>140.0</v>
      </c>
      <c r="F77" s="1">
        <v>0.103</v>
      </c>
    </row>
    <row r="78">
      <c r="A78" s="1" t="s">
        <v>24</v>
      </c>
      <c r="B78" s="1">
        <v>4.0</v>
      </c>
      <c r="C78" s="1">
        <v>4.0</v>
      </c>
      <c r="D78" s="1">
        <v>145.0</v>
      </c>
      <c r="E78" s="1">
        <v>132.0</v>
      </c>
      <c r="F78" s="1">
        <v>0.09</v>
      </c>
    </row>
    <row r="79">
      <c r="A79" s="1" t="s">
        <v>24</v>
      </c>
      <c r="B79" s="1">
        <v>4.0</v>
      </c>
      <c r="C79" s="1">
        <v>5.0</v>
      </c>
      <c r="D79" s="1">
        <v>147.0</v>
      </c>
      <c r="E79" s="1">
        <v>133.0</v>
      </c>
      <c r="F79" s="1">
        <v>0.095</v>
      </c>
    </row>
    <row r="80">
      <c r="A80" s="1" t="s">
        <v>24</v>
      </c>
      <c r="B80" s="1">
        <v>4.0</v>
      </c>
      <c r="C80" s="1">
        <v>6.0</v>
      </c>
      <c r="D80" s="1">
        <v>132.0</v>
      </c>
      <c r="E80" s="1">
        <v>118.0</v>
      </c>
      <c r="F80" s="1">
        <v>0.106</v>
      </c>
    </row>
    <row r="81">
      <c r="A81" s="1" t="s">
        <v>24</v>
      </c>
      <c r="B81" s="1">
        <v>4.0</v>
      </c>
      <c r="C81" s="1">
        <v>7.0</v>
      </c>
      <c r="D81" s="1">
        <v>146.0</v>
      </c>
      <c r="E81" s="1">
        <v>127.0</v>
      </c>
      <c r="F81" s="1">
        <v>0.13</v>
      </c>
    </row>
    <row r="82">
      <c r="A82" s="1" t="s">
        <v>24</v>
      </c>
      <c r="B82" s="1">
        <v>4.0</v>
      </c>
      <c r="C82" s="1">
        <v>8.0</v>
      </c>
      <c r="D82" s="1">
        <v>4100.0</v>
      </c>
      <c r="E82" s="1">
        <v>3606.0</v>
      </c>
      <c r="F82" s="1">
        <v>0.12</v>
      </c>
    </row>
    <row r="83">
      <c r="A83" s="1" t="s">
        <v>24</v>
      </c>
      <c r="B83" s="1">
        <v>4.0</v>
      </c>
      <c r="C83" s="1">
        <v>9.0</v>
      </c>
      <c r="D83" s="1">
        <v>4120.0</v>
      </c>
      <c r="E83" s="1">
        <v>3589.0</v>
      </c>
      <c r="F83" s="1">
        <v>0.129</v>
      </c>
    </row>
    <row r="84">
      <c r="A84" s="1" t="s">
        <v>24</v>
      </c>
      <c r="B84" s="1">
        <v>4.0</v>
      </c>
      <c r="C84" s="1">
        <v>10.0</v>
      </c>
      <c r="D84" s="1">
        <v>801.0</v>
      </c>
      <c r="E84" s="1">
        <v>713.0</v>
      </c>
      <c r="F84" s="1">
        <v>0.11</v>
      </c>
    </row>
    <row r="85">
      <c r="A85" s="1" t="s">
        <v>24</v>
      </c>
      <c r="B85" s="1">
        <v>4.0</v>
      </c>
      <c r="C85" s="1">
        <v>11.0</v>
      </c>
      <c r="D85" s="1">
        <v>687.0</v>
      </c>
      <c r="E85" s="1">
        <v>616.0</v>
      </c>
      <c r="F85" s="1">
        <v>0.103</v>
      </c>
    </row>
    <row r="86">
      <c r="A86" s="1" t="s">
        <v>24</v>
      </c>
      <c r="B86" s="1">
        <v>4.0</v>
      </c>
      <c r="C86" s="1">
        <v>12.0</v>
      </c>
      <c r="D86" s="1">
        <v>707.0</v>
      </c>
      <c r="E86" s="1">
        <v>630.0</v>
      </c>
      <c r="F86" s="1">
        <v>0.109</v>
      </c>
    </row>
    <row r="87">
      <c r="A87" s="1" t="s">
        <v>24</v>
      </c>
      <c r="B87" s="1">
        <v>4.0</v>
      </c>
      <c r="C87" s="1">
        <v>13.0</v>
      </c>
      <c r="D87" s="1">
        <v>733.0</v>
      </c>
      <c r="E87" s="1">
        <v>650.0</v>
      </c>
      <c r="F87" s="1">
        <v>0.113</v>
      </c>
    </row>
    <row r="88">
      <c r="A88" s="1" t="s">
        <v>24</v>
      </c>
      <c r="B88" s="1">
        <v>4.0</v>
      </c>
      <c r="C88" s="1">
        <v>14.0</v>
      </c>
      <c r="D88" s="1">
        <v>703.0</v>
      </c>
      <c r="E88" s="1">
        <v>641.0</v>
      </c>
      <c r="F88" s="1">
        <v>0.088</v>
      </c>
    </row>
    <row r="89">
      <c r="A89" s="1" t="s">
        <v>24</v>
      </c>
      <c r="B89" s="1">
        <v>4.0</v>
      </c>
      <c r="C89" s="1">
        <v>15.0</v>
      </c>
      <c r="D89" s="1">
        <v>679.0</v>
      </c>
      <c r="E89" s="1">
        <v>620.0</v>
      </c>
      <c r="F89" s="1">
        <v>0.087</v>
      </c>
    </row>
    <row r="90">
      <c r="A90" s="1" t="s">
        <v>24</v>
      </c>
      <c r="B90" s="1">
        <v>4.0</v>
      </c>
      <c r="C90" s="1">
        <v>16.0</v>
      </c>
      <c r="D90" s="1">
        <v>4139.0</v>
      </c>
      <c r="E90" s="1">
        <v>3575.0</v>
      </c>
      <c r="F90" s="1">
        <v>0.136</v>
      </c>
    </row>
    <row r="91">
      <c r="A91" s="1" t="s">
        <v>24</v>
      </c>
      <c r="B91" s="1">
        <v>4.0</v>
      </c>
      <c r="C91" s="1">
        <v>17.0</v>
      </c>
      <c r="D91" s="1">
        <v>4137.0</v>
      </c>
      <c r="E91" s="1">
        <v>3588.0</v>
      </c>
      <c r="F91" s="1">
        <v>0.133</v>
      </c>
    </row>
    <row r="92">
      <c r="A92" s="1" t="s">
        <v>24</v>
      </c>
      <c r="B92" s="1">
        <v>4.0</v>
      </c>
      <c r="C92" s="1">
        <v>18.0</v>
      </c>
      <c r="D92" s="1">
        <v>2942.0</v>
      </c>
      <c r="E92" s="1">
        <v>2614.0</v>
      </c>
      <c r="F92" s="1">
        <v>0.111</v>
      </c>
    </row>
    <row r="93">
      <c r="A93" s="1" t="s">
        <v>24</v>
      </c>
      <c r="B93" s="1">
        <v>4.0</v>
      </c>
      <c r="C93" s="1">
        <v>19.0</v>
      </c>
      <c r="D93" s="1">
        <v>2957.0</v>
      </c>
      <c r="E93" s="1">
        <v>2612.0</v>
      </c>
      <c r="F93" s="1">
        <v>0.117</v>
      </c>
    </row>
    <row r="94">
      <c r="A94" s="1" t="s">
        <v>24</v>
      </c>
      <c r="B94" s="1">
        <v>4.0</v>
      </c>
      <c r="C94" s="1">
        <v>20.0</v>
      </c>
      <c r="D94" s="1">
        <v>214.0</v>
      </c>
      <c r="E94" s="1">
        <v>188.0</v>
      </c>
      <c r="F94" s="1">
        <v>0.121</v>
      </c>
    </row>
    <row r="95">
      <c r="A95" s="1" t="s">
        <v>24</v>
      </c>
      <c r="B95" s="1">
        <v>4.0</v>
      </c>
      <c r="C95" s="1">
        <v>21.0</v>
      </c>
      <c r="D95" s="1">
        <v>155.0</v>
      </c>
      <c r="E95" s="1">
        <v>137.0</v>
      </c>
      <c r="F95" s="1">
        <v>0.116</v>
      </c>
    </row>
    <row r="96">
      <c r="A96" s="1" t="s">
        <v>24</v>
      </c>
      <c r="B96" s="1">
        <v>4.0</v>
      </c>
      <c r="C96" s="1">
        <v>22.0</v>
      </c>
      <c r="D96" s="1">
        <v>159.0</v>
      </c>
      <c r="E96" s="1">
        <v>142.0</v>
      </c>
      <c r="F96" s="1">
        <v>0.107</v>
      </c>
    </row>
    <row r="97">
      <c r="A97" s="1" t="s">
        <v>24</v>
      </c>
      <c r="B97" s="1">
        <v>4.0</v>
      </c>
      <c r="C97" s="1">
        <v>23.0</v>
      </c>
      <c r="D97" s="1">
        <v>142.0</v>
      </c>
      <c r="E97" s="1">
        <v>126.0</v>
      </c>
      <c r="F97" s="1">
        <v>0.113</v>
      </c>
    </row>
    <row r="98">
      <c r="A98" s="1" t="s">
        <v>25</v>
      </c>
      <c r="B98" s="1">
        <v>5.0</v>
      </c>
      <c r="C98" s="1">
        <v>0.0</v>
      </c>
      <c r="D98" s="1">
        <v>141.0</v>
      </c>
      <c r="E98" s="1">
        <v>127.0</v>
      </c>
      <c r="F98" s="1">
        <v>0.099</v>
      </c>
    </row>
    <row r="99">
      <c r="A99" s="1" t="s">
        <v>25</v>
      </c>
      <c r="B99" s="1">
        <v>5.0</v>
      </c>
      <c r="C99" s="1">
        <v>1.0</v>
      </c>
      <c r="D99" s="1">
        <v>145.0</v>
      </c>
      <c r="E99" s="1">
        <v>129.0</v>
      </c>
      <c r="F99" s="1">
        <v>0.11</v>
      </c>
    </row>
    <row r="100">
      <c r="A100" s="1" t="s">
        <v>25</v>
      </c>
      <c r="B100" s="1">
        <v>5.0</v>
      </c>
      <c r="C100" s="1">
        <v>2.0</v>
      </c>
      <c r="D100" s="1">
        <v>152.0</v>
      </c>
      <c r="E100" s="1">
        <v>135.0</v>
      </c>
      <c r="F100" s="1">
        <v>0.112</v>
      </c>
    </row>
    <row r="101">
      <c r="A101" s="1" t="s">
        <v>25</v>
      </c>
      <c r="B101" s="1">
        <v>5.0</v>
      </c>
      <c r="C101" s="1">
        <v>3.0</v>
      </c>
      <c r="D101" s="1">
        <v>135.0</v>
      </c>
      <c r="E101" s="1">
        <v>121.0</v>
      </c>
      <c r="F101" s="1">
        <v>0.104</v>
      </c>
    </row>
    <row r="102">
      <c r="A102" s="1" t="s">
        <v>25</v>
      </c>
      <c r="B102" s="1">
        <v>5.0</v>
      </c>
      <c r="C102" s="1">
        <v>4.0</v>
      </c>
      <c r="D102" s="1">
        <v>158.0</v>
      </c>
      <c r="E102" s="1">
        <v>143.0</v>
      </c>
      <c r="F102" s="1">
        <v>0.095</v>
      </c>
    </row>
    <row r="103">
      <c r="A103" s="1" t="s">
        <v>25</v>
      </c>
      <c r="B103" s="1">
        <v>5.0</v>
      </c>
      <c r="C103" s="1">
        <v>5.0</v>
      </c>
      <c r="D103" s="1">
        <v>151.0</v>
      </c>
      <c r="E103" s="1">
        <v>136.0</v>
      </c>
      <c r="F103" s="1">
        <v>0.099</v>
      </c>
    </row>
    <row r="104">
      <c r="A104" s="1" t="s">
        <v>25</v>
      </c>
      <c r="B104" s="1">
        <v>5.0</v>
      </c>
      <c r="C104" s="1">
        <v>6.0</v>
      </c>
      <c r="D104" s="1">
        <v>138.0</v>
      </c>
      <c r="E104" s="1">
        <v>123.0</v>
      </c>
      <c r="F104" s="1">
        <v>0.109</v>
      </c>
    </row>
    <row r="105">
      <c r="A105" s="1" t="s">
        <v>25</v>
      </c>
      <c r="B105" s="1">
        <v>5.0</v>
      </c>
      <c r="C105" s="1">
        <v>7.0</v>
      </c>
      <c r="D105" s="1">
        <v>155.0</v>
      </c>
      <c r="E105" s="1">
        <v>141.0</v>
      </c>
      <c r="F105" s="1">
        <v>0.09</v>
      </c>
    </row>
    <row r="106">
      <c r="A106" s="1" t="s">
        <v>25</v>
      </c>
      <c r="B106" s="1">
        <v>5.0</v>
      </c>
      <c r="C106" s="1">
        <v>8.0</v>
      </c>
      <c r="D106" s="1">
        <v>4139.0</v>
      </c>
      <c r="E106" s="1">
        <v>3578.0</v>
      </c>
      <c r="F106" s="1">
        <v>0.136</v>
      </c>
    </row>
    <row r="107">
      <c r="A107" s="1" t="s">
        <v>25</v>
      </c>
      <c r="B107" s="1">
        <v>5.0</v>
      </c>
      <c r="C107" s="1">
        <v>9.0</v>
      </c>
      <c r="D107" s="1">
        <v>4097.0</v>
      </c>
      <c r="E107" s="1">
        <v>3545.0</v>
      </c>
      <c r="F107" s="1">
        <v>0.135</v>
      </c>
    </row>
    <row r="108">
      <c r="A108" s="1" t="s">
        <v>25</v>
      </c>
      <c r="B108" s="1">
        <v>5.0</v>
      </c>
      <c r="C108" s="1">
        <v>10.0</v>
      </c>
      <c r="D108" s="1">
        <v>769.0</v>
      </c>
      <c r="E108" s="1">
        <v>689.0</v>
      </c>
      <c r="F108" s="1">
        <v>0.104</v>
      </c>
    </row>
    <row r="109">
      <c r="A109" s="1" t="s">
        <v>25</v>
      </c>
      <c r="B109" s="1">
        <v>5.0</v>
      </c>
      <c r="C109" s="1">
        <v>11.0</v>
      </c>
      <c r="D109" s="1">
        <v>715.0</v>
      </c>
      <c r="E109" s="1">
        <v>650.0</v>
      </c>
      <c r="F109" s="1">
        <v>0.091</v>
      </c>
    </row>
    <row r="110">
      <c r="A110" s="1" t="s">
        <v>25</v>
      </c>
      <c r="B110" s="1">
        <v>5.0</v>
      </c>
      <c r="C110" s="1">
        <v>12.0</v>
      </c>
      <c r="D110" s="1">
        <v>677.0</v>
      </c>
      <c r="E110" s="1">
        <v>612.0</v>
      </c>
      <c r="F110" s="1">
        <v>0.096</v>
      </c>
    </row>
    <row r="111">
      <c r="A111" s="1" t="s">
        <v>25</v>
      </c>
      <c r="B111" s="1">
        <v>5.0</v>
      </c>
      <c r="C111" s="1">
        <v>13.0</v>
      </c>
      <c r="D111" s="1">
        <v>712.0</v>
      </c>
      <c r="E111" s="1">
        <v>644.0</v>
      </c>
      <c r="F111" s="1">
        <v>0.096</v>
      </c>
    </row>
    <row r="112">
      <c r="A112" s="1" t="s">
        <v>25</v>
      </c>
      <c r="B112" s="1">
        <v>5.0</v>
      </c>
      <c r="C112" s="1">
        <v>14.0</v>
      </c>
      <c r="D112" s="1">
        <v>717.0</v>
      </c>
      <c r="E112" s="1">
        <v>658.0</v>
      </c>
      <c r="F112" s="1">
        <v>0.082</v>
      </c>
    </row>
    <row r="113">
      <c r="A113" s="1" t="s">
        <v>25</v>
      </c>
      <c r="B113" s="1">
        <v>5.0</v>
      </c>
      <c r="C113" s="1">
        <v>15.0</v>
      </c>
      <c r="D113" s="1">
        <v>692.0</v>
      </c>
      <c r="E113" s="1">
        <v>620.0</v>
      </c>
      <c r="F113" s="1">
        <v>0.104</v>
      </c>
    </row>
    <row r="114">
      <c r="A114" s="1" t="s">
        <v>25</v>
      </c>
      <c r="B114" s="1">
        <v>5.0</v>
      </c>
      <c r="C114" s="1">
        <v>16.0</v>
      </c>
      <c r="D114" s="1">
        <v>4041.0</v>
      </c>
      <c r="E114" s="1">
        <v>3559.0</v>
      </c>
      <c r="F114" s="1">
        <v>0.119</v>
      </c>
    </row>
    <row r="115">
      <c r="A115" s="1" t="s">
        <v>25</v>
      </c>
      <c r="B115" s="1">
        <v>5.0</v>
      </c>
      <c r="C115" s="1">
        <v>17.0</v>
      </c>
      <c r="D115" s="1">
        <v>4042.0</v>
      </c>
      <c r="E115" s="1">
        <v>3523.0</v>
      </c>
      <c r="F115" s="1">
        <v>0.128</v>
      </c>
    </row>
    <row r="116">
      <c r="A116" s="1" t="s">
        <v>25</v>
      </c>
      <c r="B116" s="1">
        <v>5.0</v>
      </c>
      <c r="C116" s="1">
        <v>18.0</v>
      </c>
      <c r="D116" s="1">
        <v>3070.0</v>
      </c>
      <c r="E116" s="1">
        <v>2694.0</v>
      </c>
      <c r="F116" s="1">
        <v>0.122</v>
      </c>
    </row>
    <row r="117">
      <c r="A117" s="1" t="s">
        <v>25</v>
      </c>
      <c r="B117" s="1">
        <v>5.0</v>
      </c>
      <c r="C117" s="1">
        <v>19.0</v>
      </c>
      <c r="D117" s="1">
        <v>2937.0</v>
      </c>
      <c r="E117" s="1">
        <v>2594.0</v>
      </c>
      <c r="F117" s="1">
        <v>0.117</v>
      </c>
    </row>
    <row r="118">
      <c r="A118" s="1" t="s">
        <v>25</v>
      </c>
      <c r="B118" s="1">
        <v>5.0</v>
      </c>
      <c r="C118" s="1">
        <v>20.0</v>
      </c>
      <c r="D118" s="1">
        <v>201.0</v>
      </c>
      <c r="E118" s="1">
        <v>179.0</v>
      </c>
      <c r="F118" s="1">
        <v>0.109</v>
      </c>
    </row>
    <row r="119">
      <c r="A119" s="1" t="s">
        <v>25</v>
      </c>
      <c r="B119" s="1">
        <v>5.0</v>
      </c>
      <c r="C119" s="1">
        <v>21.0</v>
      </c>
      <c r="D119" s="1">
        <v>154.0</v>
      </c>
      <c r="E119" s="1">
        <v>138.0</v>
      </c>
      <c r="F119" s="1">
        <v>0.104</v>
      </c>
    </row>
    <row r="120">
      <c r="A120" s="1" t="s">
        <v>25</v>
      </c>
      <c r="B120" s="1">
        <v>5.0</v>
      </c>
      <c r="C120" s="1">
        <v>22.0</v>
      </c>
      <c r="D120" s="1">
        <v>151.0</v>
      </c>
      <c r="E120" s="1">
        <v>141.0</v>
      </c>
      <c r="F120" s="1">
        <v>0.066</v>
      </c>
    </row>
    <row r="121">
      <c r="A121" s="1" t="s">
        <v>25</v>
      </c>
      <c r="B121" s="1">
        <v>5.0</v>
      </c>
      <c r="C121" s="1">
        <v>23.0</v>
      </c>
      <c r="D121" s="1">
        <v>163.0</v>
      </c>
      <c r="E121" s="1">
        <v>149.0</v>
      </c>
      <c r="F121" s="1">
        <v>0.086</v>
      </c>
    </row>
    <row r="122">
      <c r="A122" s="1" t="s">
        <v>26</v>
      </c>
      <c r="B122" s="1">
        <v>6.0</v>
      </c>
      <c r="C122" s="1">
        <v>0.0</v>
      </c>
      <c r="D122" s="1">
        <v>137.0</v>
      </c>
      <c r="E122" s="1">
        <v>126.0</v>
      </c>
      <c r="F122" s="1">
        <v>0.08</v>
      </c>
    </row>
    <row r="123">
      <c r="A123" s="1" t="s">
        <v>26</v>
      </c>
      <c r="B123" s="1">
        <v>6.0</v>
      </c>
      <c r="C123" s="1">
        <v>1.0</v>
      </c>
      <c r="D123" s="1">
        <v>161.0</v>
      </c>
      <c r="E123" s="1">
        <v>143.0</v>
      </c>
      <c r="F123" s="1">
        <v>0.112</v>
      </c>
    </row>
    <row r="124">
      <c r="A124" s="1" t="s">
        <v>26</v>
      </c>
      <c r="B124" s="1">
        <v>6.0</v>
      </c>
      <c r="C124" s="1">
        <v>2.0</v>
      </c>
      <c r="D124" s="1">
        <v>152.0</v>
      </c>
      <c r="E124" s="1">
        <v>133.0</v>
      </c>
      <c r="F124" s="1">
        <v>0.125</v>
      </c>
    </row>
    <row r="125">
      <c r="A125" s="1" t="s">
        <v>26</v>
      </c>
      <c r="B125" s="1">
        <v>6.0</v>
      </c>
      <c r="C125" s="1">
        <v>3.0</v>
      </c>
      <c r="D125" s="1">
        <v>136.0</v>
      </c>
      <c r="E125" s="1">
        <v>123.0</v>
      </c>
      <c r="F125" s="1">
        <v>0.096</v>
      </c>
    </row>
    <row r="126">
      <c r="A126" s="1" t="s">
        <v>26</v>
      </c>
      <c r="B126" s="1">
        <v>6.0</v>
      </c>
      <c r="C126" s="1">
        <v>4.0</v>
      </c>
      <c r="D126" s="1">
        <v>164.0</v>
      </c>
      <c r="E126" s="1">
        <v>147.0</v>
      </c>
      <c r="F126" s="1">
        <v>0.104</v>
      </c>
    </row>
    <row r="127">
      <c r="A127" s="1" t="s">
        <v>26</v>
      </c>
      <c r="B127" s="1">
        <v>6.0</v>
      </c>
      <c r="C127" s="1">
        <v>5.0</v>
      </c>
      <c r="D127" s="1">
        <v>149.0</v>
      </c>
      <c r="E127" s="1">
        <v>137.0</v>
      </c>
      <c r="F127" s="1">
        <v>0.081</v>
      </c>
    </row>
    <row r="128">
      <c r="A128" s="1" t="s">
        <v>26</v>
      </c>
      <c r="B128" s="1">
        <v>6.0</v>
      </c>
      <c r="C128" s="1">
        <v>6.0</v>
      </c>
      <c r="D128" s="1">
        <v>135.0</v>
      </c>
      <c r="E128" s="1">
        <v>126.0</v>
      </c>
      <c r="F128" s="1">
        <v>0.067</v>
      </c>
    </row>
    <row r="129">
      <c r="A129" s="1" t="s">
        <v>26</v>
      </c>
      <c r="B129" s="1">
        <v>6.0</v>
      </c>
      <c r="C129" s="1">
        <v>7.0</v>
      </c>
      <c r="D129" s="1">
        <v>147.0</v>
      </c>
      <c r="E129" s="1">
        <v>134.0</v>
      </c>
      <c r="F129" s="1">
        <v>0.088</v>
      </c>
    </row>
    <row r="130">
      <c r="A130" s="1" t="s">
        <v>26</v>
      </c>
      <c r="B130" s="1">
        <v>6.0</v>
      </c>
      <c r="C130" s="1">
        <v>8.0</v>
      </c>
      <c r="D130" s="1">
        <v>4084.0</v>
      </c>
      <c r="E130" s="1">
        <v>3586.0</v>
      </c>
      <c r="F130" s="1">
        <v>0.122</v>
      </c>
    </row>
    <row r="131">
      <c r="A131" s="1" t="s">
        <v>26</v>
      </c>
      <c r="B131" s="1">
        <v>6.0</v>
      </c>
      <c r="C131" s="1">
        <v>9.0</v>
      </c>
      <c r="D131" s="1">
        <v>4070.0</v>
      </c>
      <c r="E131" s="1">
        <v>3525.0</v>
      </c>
      <c r="F131" s="1">
        <v>0.134</v>
      </c>
    </row>
    <row r="132">
      <c r="A132" s="1" t="s">
        <v>26</v>
      </c>
      <c r="B132" s="1">
        <v>6.0</v>
      </c>
      <c r="C132" s="1">
        <v>10.0</v>
      </c>
      <c r="D132" s="1">
        <v>805.0</v>
      </c>
      <c r="E132" s="1">
        <v>737.0</v>
      </c>
      <c r="F132" s="1">
        <v>0.084</v>
      </c>
    </row>
    <row r="133">
      <c r="A133" s="1" t="s">
        <v>26</v>
      </c>
      <c r="B133" s="1">
        <v>6.0</v>
      </c>
      <c r="C133" s="1">
        <v>11.0</v>
      </c>
      <c r="D133" s="1">
        <v>680.0</v>
      </c>
      <c r="E133" s="1">
        <v>616.0</v>
      </c>
      <c r="F133" s="1">
        <v>0.094</v>
      </c>
    </row>
    <row r="134">
      <c r="A134" s="1" t="s">
        <v>26</v>
      </c>
      <c r="B134" s="1">
        <v>6.0</v>
      </c>
      <c r="C134" s="1">
        <v>12.0</v>
      </c>
      <c r="D134" s="1">
        <v>732.0</v>
      </c>
      <c r="E134" s="1">
        <v>649.0</v>
      </c>
      <c r="F134" s="1">
        <v>0.113</v>
      </c>
    </row>
    <row r="135">
      <c r="A135" s="1" t="s">
        <v>26</v>
      </c>
      <c r="B135" s="1">
        <v>6.0</v>
      </c>
      <c r="C135" s="1">
        <v>13.0</v>
      </c>
      <c r="D135" s="1">
        <v>682.0</v>
      </c>
      <c r="E135" s="1">
        <v>615.0</v>
      </c>
      <c r="F135" s="1">
        <v>0.098</v>
      </c>
    </row>
    <row r="136">
      <c r="A136" s="1" t="s">
        <v>26</v>
      </c>
      <c r="B136" s="1">
        <v>6.0</v>
      </c>
      <c r="C136" s="1">
        <v>14.0</v>
      </c>
      <c r="D136" s="1">
        <v>707.0</v>
      </c>
      <c r="E136" s="1">
        <v>638.0</v>
      </c>
      <c r="F136" s="1">
        <v>0.098</v>
      </c>
    </row>
    <row r="137">
      <c r="A137" s="1" t="s">
        <v>26</v>
      </c>
      <c r="B137" s="1">
        <v>6.0</v>
      </c>
      <c r="C137" s="1">
        <v>15.0</v>
      </c>
      <c r="D137" s="1">
        <v>705.0</v>
      </c>
      <c r="E137" s="1">
        <v>637.0</v>
      </c>
      <c r="F137" s="1">
        <v>0.096</v>
      </c>
    </row>
    <row r="138">
      <c r="A138" s="1" t="s">
        <v>26</v>
      </c>
      <c r="B138" s="1">
        <v>6.0</v>
      </c>
      <c r="C138" s="1">
        <v>16.0</v>
      </c>
      <c r="D138" s="1">
        <v>4007.0</v>
      </c>
      <c r="E138" s="1">
        <v>3497.0</v>
      </c>
      <c r="F138" s="1">
        <v>0.127</v>
      </c>
    </row>
    <row r="139">
      <c r="A139" s="1" t="s">
        <v>26</v>
      </c>
      <c r="B139" s="1">
        <v>6.0</v>
      </c>
      <c r="C139" s="1">
        <v>17.0</v>
      </c>
      <c r="D139" s="1">
        <v>4012.0</v>
      </c>
      <c r="E139" s="1">
        <v>3509.0</v>
      </c>
      <c r="F139" s="1">
        <v>0.125</v>
      </c>
    </row>
    <row r="140">
      <c r="A140" s="1" t="s">
        <v>26</v>
      </c>
      <c r="B140" s="1">
        <v>6.0</v>
      </c>
      <c r="C140" s="1">
        <v>18.0</v>
      </c>
      <c r="D140" s="1">
        <v>3030.0</v>
      </c>
      <c r="E140" s="1">
        <v>2659.0</v>
      </c>
      <c r="F140" s="1">
        <v>0.122</v>
      </c>
    </row>
    <row r="141">
      <c r="A141" s="1" t="s">
        <v>26</v>
      </c>
      <c r="B141" s="1">
        <v>6.0</v>
      </c>
      <c r="C141" s="1">
        <v>19.0</v>
      </c>
      <c r="D141" s="1">
        <v>3020.0</v>
      </c>
      <c r="E141" s="1">
        <v>2658.0</v>
      </c>
      <c r="F141" s="1">
        <v>0.12</v>
      </c>
    </row>
    <row r="142">
      <c r="A142" s="1" t="s">
        <v>26</v>
      </c>
      <c r="B142" s="1">
        <v>6.0</v>
      </c>
      <c r="C142" s="1">
        <v>20.0</v>
      </c>
      <c r="D142" s="1">
        <v>222.0</v>
      </c>
      <c r="E142" s="1">
        <v>203.0</v>
      </c>
      <c r="F142" s="1">
        <v>0.086</v>
      </c>
    </row>
    <row r="143">
      <c r="A143" s="1" t="s">
        <v>26</v>
      </c>
      <c r="B143" s="1">
        <v>6.0</v>
      </c>
      <c r="C143" s="1">
        <v>21.0</v>
      </c>
      <c r="D143" s="1">
        <v>156.0</v>
      </c>
      <c r="E143" s="1">
        <v>137.0</v>
      </c>
      <c r="F143" s="1">
        <v>0.122</v>
      </c>
    </row>
    <row r="144">
      <c r="A144" s="1" t="s">
        <v>26</v>
      </c>
      <c r="B144" s="1">
        <v>6.0</v>
      </c>
      <c r="C144" s="1">
        <v>22.0</v>
      </c>
      <c r="D144" s="1">
        <v>129.0</v>
      </c>
      <c r="E144" s="1">
        <v>119.0</v>
      </c>
      <c r="F144" s="1">
        <v>0.078</v>
      </c>
    </row>
    <row r="145">
      <c r="A145" s="1" t="s">
        <v>26</v>
      </c>
      <c r="B145" s="1">
        <v>6.0</v>
      </c>
      <c r="C145" s="1">
        <v>23.0</v>
      </c>
      <c r="D145" s="1">
        <v>139.0</v>
      </c>
      <c r="E145" s="1">
        <v>124.0</v>
      </c>
      <c r="F145" s="1">
        <v>0.108</v>
      </c>
    </row>
    <row r="146">
      <c r="A146" s="1" t="s">
        <v>27</v>
      </c>
      <c r="B146" s="1">
        <v>7.0</v>
      </c>
      <c r="C146" s="1">
        <v>0.0</v>
      </c>
      <c r="D146" s="1">
        <v>131.0</v>
      </c>
      <c r="E146" s="1">
        <v>117.0</v>
      </c>
      <c r="F146" s="1">
        <v>0.107</v>
      </c>
    </row>
    <row r="147">
      <c r="A147" s="1" t="s">
        <v>27</v>
      </c>
      <c r="B147" s="1">
        <v>7.0</v>
      </c>
      <c r="C147" s="1">
        <v>1.0</v>
      </c>
      <c r="D147" s="1">
        <v>153.0</v>
      </c>
      <c r="E147" s="1">
        <v>141.0</v>
      </c>
      <c r="F147" s="1">
        <v>0.078</v>
      </c>
    </row>
    <row r="148">
      <c r="A148" s="1" t="s">
        <v>27</v>
      </c>
      <c r="B148" s="1">
        <v>7.0</v>
      </c>
      <c r="C148" s="1">
        <v>2.0</v>
      </c>
      <c r="D148" s="1">
        <v>146.0</v>
      </c>
      <c r="E148" s="1">
        <v>132.0</v>
      </c>
      <c r="F148" s="1">
        <v>0.096</v>
      </c>
    </row>
    <row r="149">
      <c r="A149" s="1" t="s">
        <v>27</v>
      </c>
      <c r="B149" s="1">
        <v>7.0</v>
      </c>
      <c r="C149" s="1">
        <v>3.0</v>
      </c>
      <c r="D149" s="1">
        <v>134.0</v>
      </c>
      <c r="E149" s="1">
        <v>118.0</v>
      </c>
      <c r="F149" s="1">
        <v>0.119</v>
      </c>
    </row>
    <row r="150">
      <c r="A150" s="1" t="s">
        <v>27</v>
      </c>
      <c r="B150" s="1">
        <v>7.0</v>
      </c>
      <c r="C150" s="1">
        <v>4.0</v>
      </c>
      <c r="D150" s="1">
        <v>140.0</v>
      </c>
      <c r="E150" s="1">
        <v>126.0</v>
      </c>
      <c r="F150" s="1">
        <v>0.1</v>
      </c>
    </row>
    <row r="151">
      <c r="A151" s="1" t="s">
        <v>27</v>
      </c>
      <c r="B151" s="1">
        <v>7.0</v>
      </c>
      <c r="C151" s="1">
        <v>5.0</v>
      </c>
      <c r="D151" s="1">
        <v>138.0</v>
      </c>
      <c r="E151" s="1">
        <v>128.0</v>
      </c>
      <c r="F151" s="1">
        <v>0.072</v>
      </c>
    </row>
    <row r="152">
      <c r="A152" s="1" t="s">
        <v>27</v>
      </c>
      <c r="B152" s="1">
        <v>7.0</v>
      </c>
      <c r="C152" s="1">
        <v>6.0</v>
      </c>
      <c r="D152" s="1">
        <v>134.0</v>
      </c>
      <c r="E152" s="1">
        <v>119.0</v>
      </c>
      <c r="F152" s="1">
        <v>0.112</v>
      </c>
    </row>
    <row r="153">
      <c r="A153" s="1" t="s">
        <v>27</v>
      </c>
      <c r="B153" s="1">
        <v>7.0</v>
      </c>
      <c r="C153" s="1">
        <v>7.0</v>
      </c>
      <c r="D153" s="1">
        <v>151.0</v>
      </c>
      <c r="E153" s="1">
        <v>129.0</v>
      </c>
      <c r="F153" s="1">
        <v>0.146</v>
      </c>
    </row>
    <row r="154">
      <c r="A154" s="1" t="s">
        <v>27</v>
      </c>
      <c r="B154" s="1">
        <v>7.0</v>
      </c>
      <c r="C154" s="1">
        <v>8.0</v>
      </c>
      <c r="D154" s="1">
        <v>4125.0</v>
      </c>
      <c r="E154" s="1">
        <v>3594.0</v>
      </c>
      <c r="F154" s="1">
        <v>0.129</v>
      </c>
    </row>
    <row r="155">
      <c r="A155" s="1" t="s">
        <v>27</v>
      </c>
      <c r="B155" s="1">
        <v>7.0</v>
      </c>
      <c r="C155" s="1">
        <v>9.0</v>
      </c>
      <c r="D155" s="1">
        <v>4128.0</v>
      </c>
      <c r="E155" s="1">
        <v>3623.0</v>
      </c>
      <c r="F155" s="1">
        <v>0.122</v>
      </c>
    </row>
    <row r="156">
      <c r="A156" s="1" t="s">
        <v>27</v>
      </c>
      <c r="B156" s="1">
        <v>7.0</v>
      </c>
      <c r="C156" s="1">
        <v>10.0</v>
      </c>
      <c r="D156" s="1">
        <v>810.0</v>
      </c>
      <c r="E156" s="1">
        <v>735.0</v>
      </c>
      <c r="F156" s="1">
        <v>0.093</v>
      </c>
    </row>
    <row r="157">
      <c r="A157" s="1" t="s">
        <v>27</v>
      </c>
      <c r="B157" s="1">
        <v>7.0</v>
      </c>
      <c r="C157" s="1">
        <v>11.0</v>
      </c>
      <c r="D157" s="1">
        <v>692.0</v>
      </c>
      <c r="E157" s="1">
        <v>614.0</v>
      </c>
      <c r="F157" s="1">
        <v>0.113</v>
      </c>
    </row>
    <row r="158">
      <c r="A158" s="1" t="s">
        <v>27</v>
      </c>
      <c r="B158" s="1">
        <v>7.0</v>
      </c>
      <c r="C158" s="1">
        <v>12.0</v>
      </c>
      <c r="D158" s="1">
        <v>722.0</v>
      </c>
      <c r="E158" s="1">
        <v>637.0</v>
      </c>
      <c r="F158" s="1">
        <v>0.118</v>
      </c>
    </row>
    <row r="159">
      <c r="A159" s="1" t="s">
        <v>27</v>
      </c>
      <c r="B159" s="1">
        <v>7.0</v>
      </c>
      <c r="C159" s="1">
        <v>13.0</v>
      </c>
      <c r="D159" s="1">
        <v>693.0</v>
      </c>
      <c r="E159" s="1">
        <v>612.0</v>
      </c>
      <c r="F159" s="1">
        <v>0.117</v>
      </c>
    </row>
    <row r="160">
      <c r="A160" s="1" t="s">
        <v>27</v>
      </c>
      <c r="B160" s="1">
        <v>7.0</v>
      </c>
      <c r="C160" s="1">
        <v>14.0</v>
      </c>
      <c r="D160" s="1">
        <v>760.0</v>
      </c>
      <c r="E160" s="1">
        <v>682.0</v>
      </c>
      <c r="F160" s="1">
        <v>0.103</v>
      </c>
    </row>
    <row r="161">
      <c r="A161" s="1" t="s">
        <v>27</v>
      </c>
      <c r="B161" s="1">
        <v>7.0</v>
      </c>
      <c r="C161" s="1">
        <v>15.0</v>
      </c>
      <c r="D161" s="1">
        <v>735.0</v>
      </c>
      <c r="E161" s="1">
        <v>668.0</v>
      </c>
      <c r="F161" s="1">
        <v>0.091</v>
      </c>
    </row>
    <row r="162">
      <c r="A162" s="1" t="s">
        <v>27</v>
      </c>
      <c r="B162" s="1">
        <v>7.0</v>
      </c>
      <c r="C162" s="1">
        <v>16.0</v>
      </c>
      <c r="D162" s="1">
        <v>3988.0</v>
      </c>
      <c r="E162" s="1">
        <v>3511.0</v>
      </c>
      <c r="F162" s="1">
        <v>0.12</v>
      </c>
    </row>
    <row r="163">
      <c r="A163" s="1" t="s">
        <v>27</v>
      </c>
      <c r="B163" s="1">
        <v>7.0</v>
      </c>
      <c r="C163" s="1">
        <v>17.0</v>
      </c>
      <c r="D163" s="1">
        <v>3993.0</v>
      </c>
      <c r="E163" s="1">
        <v>3470.0</v>
      </c>
      <c r="F163" s="1">
        <v>0.131</v>
      </c>
    </row>
    <row r="164">
      <c r="A164" s="1" t="s">
        <v>27</v>
      </c>
      <c r="B164" s="1">
        <v>7.0</v>
      </c>
      <c r="C164" s="1">
        <v>18.0</v>
      </c>
      <c r="D164" s="1">
        <v>3018.0</v>
      </c>
      <c r="E164" s="1">
        <v>2649.0</v>
      </c>
      <c r="F164" s="1">
        <v>0.122</v>
      </c>
    </row>
    <row r="165">
      <c r="A165" s="1" t="s">
        <v>27</v>
      </c>
      <c r="B165" s="1">
        <v>7.0</v>
      </c>
      <c r="C165" s="1">
        <v>19.0</v>
      </c>
      <c r="D165" s="1">
        <v>3064.0</v>
      </c>
      <c r="E165" s="1">
        <v>2708.0</v>
      </c>
      <c r="F165" s="1">
        <v>0.116</v>
      </c>
    </row>
    <row r="166">
      <c r="A166" s="1" t="s">
        <v>27</v>
      </c>
      <c r="B166" s="1">
        <v>7.0</v>
      </c>
      <c r="C166" s="1">
        <v>20.0</v>
      </c>
      <c r="D166" s="1">
        <v>207.0</v>
      </c>
      <c r="E166" s="1">
        <v>185.0</v>
      </c>
      <c r="F166" s="1">
        <v>0.106</v>
      </c>
    </row>
    <row r="167">
      <c r="A167" s="1" t="s">
        <v>27</v>
      </c>
      <c r="B167" s="1">
        <v>7.0</v>
      </c>
      <c r="C167" s="1">
        <v>21.0</v>
      </c>
      <c r="D167" s="1">
        <v>154.0</v>
      </c>
      <c r="E167" s="1">
        <v>140.0</v>
      </c>
      <c r="F167" s="1">
        <v>0.091</v>
      </c>
    </row>
    <row r="168">
      <c r="A168" s="1" t="s">
        <v>27</v>
      </c>
      <c r="B168" s="1">
        <v>7.0</v>
      </c>
      <c r="C168" s="1">
        <v>22.0</v>
      </c>
      <c r="D168" s="1">
        <v>139.0</v>
      </c>
      <c r="E168" s="1">
        <v>125.0</v>
      </c>
      <c r="F168" s="1">
        <v>0.101</v>
      </c>
    </row>
    <row r="169">
      <c r="A169" s="1" t="s">
        <v>27</v>
      </c>
      <c r="B169" s="1">
        <v>7.0</v>
      </c>
      <c r="C169" s="1">
        <v>23.0</v>
      </c>
      <c r="D169" s="1">
        <v>133.0</v>
      </c>
      <c r="E169" s="1">
        <v>123.0</v>
      </c>
      <c r="F169" s="1">
        <v>0.075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3.38"/>
    <col customWidth="1" min="3" max="4" width="23.25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</row>
    <row r="2">
      <c r="A2" s="1" t="s">
        <v>33</v>
      </c>
      <c r="B2" s="1">
        <v>74720.0</v>
      </c>
      <c r="C2" s="1">
        <v>0.0</v>
      </c>
      <c r="D2" s="1">
        <v>0.0</v>
      </c>
    </row>
    <row r="3">
      <c r="A3" s="1" t="s">
        <v>34</v>
      </c>
      <c r="B3" s="1">
        <v>124302.0</v>
      </c>
      <c r="C3" s="1">
        <v>0.0</v>
      </c>
      <c r="D3" s="1">
        <v>0.0</v>
      </c>
    </row>
    <row r="4">
      <c r="A4" s="1" t="s">
        <v>35</v>
      </c>
      <c r="B4" s="1">
        <v>49357.0</v>
      </c>
      <c r="C4" s="1">
        <v>24727.0</v>
      </c>
      <c r="D4" s="1">
        <v>0.501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  <col customWidth="1" min="3" max="4" width="22.88"/>
  </cols>
  <sheetData>
    <row r="1">
      <c r="A1" s="3" t="s">
        <v>29</v>
      </c>
      <c r="B1" s="3" t="s">
        <v>30</v>
      </c>
      <c r="C1" s="3" t="s">
        <v>31</v>
      </c>
      <c r="D1" s="3" t="s">
        <v>32</v>
      </c>
    </row>
    <row r="2">
      <c r="A2" s="3" t="s">
        <v>33</v>
      </c>
      <c r="B2" s="3">
        <v>74720.0</v>
      </c>
      <c r="C2" s="3">
        <v>0.0</v>
      </c>
      <c r="D2" s="6">
        <f t="shared" ref="D2:D4" si="1">IFERROR(C2/B2,"")</f>
        <v>0</v>
      </c>
    </row>
    <row r="3">
      <c r="A3" s="3" t="s">
        <v>34</v>
      </c>
      <c r="B3" s="3">
        <v>124302.0</v>
      </c>
      <c r="C3" s="3">
        <v>0.0</v>
      </c>
      <c r="D3" s="6">
        <f t="shared" si="1"/>
        <v>0</v>
      </c>
    </row>
    <row r="4">
      <c r="A4" s="3" t="s">
        <v>35</v>
      </c>
      <c r="B4" s="3">
        <v>49357.0</v>
      </c>
      <c r="C4" s="3">
        <v>24727.0</v>
      </c>
      <c r="D4" s="10">
        <f t="shared" si="1"/>
        <v>0.5009826367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  <col customWidth="1" min="5" max="5" width="15.38"/>
    <col customWidth="1" min="6" max="6" width="22.0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>
      <c r="A2" s="1" t="s">
        <v>42</v>
      </c>
      <c r="B2" s="1">
        <v>14290.0</v>
      </c>
      <c r="C2" s="1">
        <v>3792.0</v>
      </c>
      <c r="D2" s="1">
        <v>0.265</v>
      </c>
      <c r="E2" s="1">
        <v>2586628.80999996</v>
      </c>
      <c r="F2" s="1">
        <v>181.01</v>
      </c>
    </row>
    <row r="3">
      <c r="A3" s="1" t="s">
        <v>43</v>
      </c>
      <c r="B3" s="1">
        <v>6935.0</v>
      </c>
      <c r="C3" s="1">
        <v>1830.0</v>
      </c>
      <c r="D3" s="1">
        <v>0.264</v>
      </c>
      <c r="E3" s="1">
        <v>1243623.61</v>
      </c>
      <c r="F3" s="1">
        <v>179.33</v>
      </c>
    </row>
    <row r="4">
      <c r="A4" s="1" t="s">
        <v>44</v>
      </c>
      <c r="B4" s="1">
        <v>2383.0</v>
      </c>
      <c r="C4" s="1">
        <v>611.0</v>
      </c>
      <c r="D4" s="1">
        <v>0.256</v>
      </c>
      <c r="E4" s="1">
        <v>421415.190000002</v>
      </c>
      <c r="F4" s="1">
        <v>176.84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1.25"/>
    <col customWidth="1" min="5" max="5" width="16.88"/>
    <col customWidth="1" min="6" max="6" width="23.5"/>
  </cols>
  <sheetData>
    <row r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>
      <c r="A2" s="3" t="s">
        <v>42</v>
      </c>
      <c r="B2" s="3">
        <v>14290.0</v>
      </c>
      <c r="C2" s="3">
        <v>3792.0</v>
      </c>
      <c r="D2" s="11">
        <f t="shared" ref="D2:D4" si="1">IFERROR(C2/B2,"")</f>
        <v>0.2653603919</v>
      </c>
      <c r="E2" s="3">
        <v>2586628.80999996</v>
      </c>
      <c r="F2" s="6">
        <f t="shared" ref="F2:F4" si="2">IFERROR(E2/B2,"")</f>
        <v>181.0097138</v>
      </c>
    </row>
    <row r="3">
      <c r="A3" s="3" t="s">
        <v>43</v>
      </c>
      <c r="B3" s="3">
        <v>6935.0</v>
      </c>
      <c r="C3" s="3">
        <v>1830.0</v>
      </c>
      <c r="D3" s="11">
        <f t="shared" si="1"/>
        <v>0.2638788753</v>
      </c>
      <c r="E3" s="3">
        <v>1243623.61</v>
      </c>
      <c r="F3" s="6">
        <f t="shared" si="2"/>
        <v>179.3256828</v>
      </c>
    </row>
    <row r="4">
      <c r="A4" s="3" t="s">
        <v>44</v>
      </c>
      <c r="B4" s="3">
        <v>2383.0</v>
      </c>
      <c r="C4" s="3">
        <v>611.0</v>
      </c>
      <c r="D4" s="11">
        <f t="shared" si="1"/>
        <v>0.2563994964</v>
      </c>
      <c r="E4" s="3">
        <v>421415.190000002</v>
      </c>
      <c r="F4" s="6">
        <f t="shared" si="2"/>
        <v>176.8422954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</cols>
  <sheetData>
    <row r="1">
      <c r="A1" s="1" t="s">
        <v>45</v>
      </c>
      <c r="B1" s="1" t="s">
        <v>46</v>
      </c>
      <c r="C1" s="1" t="s">
        <v>47</v>
      </c>
    </row>
    <row r="2">
      <c r="A2" s="1" t="s">
        <v>48</v>
      </c>
      <c r="B2" s="1">
        <v>1300.0</v>
      </c>
      <c r="C2" s="1">
        <v>670.0</v>
      </c>
    </row>
    <row r="3">
      <c r="A3" s="1" t="s">
        <v>49</v>
      </c>
      <c r="B3" s="1">
        <v>2425.0</v>
      </c>
      <c r="C3" s="1">
        <v>1227.0</v>
      </c>
    </row>
    <row r="4">
      <c r="A4" s="1" t="s">
        <v>50</v>
      </c>
      <c r="B4" s="1">
        <v>3662.0</v>
      </c>
      <c r="C4" s="1">
        <v>1861.0</v>
      </c>
    </row>
    <row r="5">
      <c r="A5" s="1" t="s">
        <v>51</v>
      </c>
      <c r="B5" s="1">
        <v>1285.0</v>
      </c>
      <c r="C5" s="1">
        <v>630.0</v>
      </c>
    </row>
    <row r="6">
      <c r="A6" s="1" t="s">
        <v>52</v>
      </c>
      <c r="B6" s="1">
        <v>3734.0</v>
      </c>
      <c r="C6" s="1">
        <v>1845.0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63"/>
  </cols>
  <sheetData>
    <row r="1">
      <c r="A1" s="2" t="s">
        <v>45</v>
      </c>
      <c r="B1" s="2" t="s">
        <v>46</v>
      </c>
      <c r="C1" s="2" t="s">
        <v>47</v>
      </c>
    </row>
    <row r="2">
      <c r="A2" s="3" t="s">
        <v>48</v>
      </c>
      <c r="B2" s="3">
        <v>1300.0</v>
      </c>
      <c r="C2" s="3">
        <v>670.0</v>
      </c>
    </row>
    <row r="3">
      <c r="A3" s="3" t="s">
        <v>49</v>
      </c>
      <c r="B3" s="3">
        <v>2425.0</v>
      </c>
      <c r="C3" s="3">
        <v>1227.0</v>
      </c>
    </row>
    <row r="4">
      <c r="A4" s="3" t="s">
        <v>50</v>
      </c>
      <c r="B4" s="3">
        <v>3662.0</v>
      </c>
      <c r="C4" s="3">
        <v>1861.0</v>
      </c>
    </row>
    <row r="5">
      <c r="A5" s="3" t="s">
        <v>51</v>
      </c>
      <c r="B5" s="3">
        <v>1285.0</v>
      </c>
      <c r="C5" s="3">
        <v>630.0</v>
      </c>
    </row>
    <row r="6">
      <c r="A6" s="3" t="s">
        <v>52</v>
      </c>
      <c r="B6" s="3">
        <v>3734.0</v>
      </c>
      <c r="C6" s="3">
        <v>1845.0</v>
      </c>
    </row>
  </sheetData>
  <drawing r:id="rId1"/>
</worksheet>
</file>